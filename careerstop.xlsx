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lja\pgaljan.github.io\"/>
    </mc:Choice>
  </mc:AlternateContent>
  <xr:revisionPtr revIDLastSave="0" documentId="13_ncr:1_{33FA7D25-2B83-4EEA-BAC3-C789222752DD}" xr6:coauthVersionLast="47" xr6:coauthVersionMax="47" xr10:uidLastSave="{00000000-0000-0000-0000-000000000000}"/>
  <bookViews>
    <workbookView xWindow="-28898" yWindow="-37" windowWidth="28996" windowHeight="15675" xr2:uid="{D14A6CAB-8ABE-4996-ABD5-087D26C23723}"/>
  </bookViews>
  <sheets>
    <sheet name="careerstop" sheetId="1" r:id="rId1"/>
    <sheet name="names" sheetId="2" state="hidden" r:id="rId2"/>
  </sheets>
  <definedNames>
    <definedName name="randomName">_xlfn.XLOOKUP(RANDBETWEEN(1,20),Table1[index],Table1[first]) &amp; " " &amp; _xlfn.XLOOKUP(RANDBETWEEN(1,20),Table1[index],Table1[last])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" i="1" l="1"/>
  <c r="AF2" i="1" a="1"/>
  <c r="AD1" i="1"/>
  <c r="AG1" i="1"/>
  <c r="AG2" i="1" a="1"/>
  <c r="AE2" i="1" a="1"/>
  <c r="AD2" i="1" a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2" i="1"/>
  <c r="AF2" i="1" l="1"/>
  <c r="AG2" i="1"/>
  <c r="AE11" i="1" a="1"/>
  <c r="AE2" i="1"/>
  <c r="AD2" i="1"/>
  <c r="AE1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<sst xmlns="http://schemas.openxmlformats.org/spreadsheetml/2006/main" count="111" uniqueCount="109">
  <si>
    <t>Tools</t>
  </si>
  <si>
    <t>Profession</t>
  </si>
  <si>
    <t>Job Title</t>
  </si>
  <si>
    <t>Trade</t>
  </si>
  <si>
    <t>Professional Priorities</t>
  </si>
  <si>
    <t>Competencies</t>
  </si>
  <si>
    <t>Practices</t>
  </si>
  <si>
    <t>Priorities</t>
  </si>
  <si>
    <t>Core</t>
  </si>
  <si>
    <t>P&amp;L Management</t>
  </si>
  <si>
    <t>Supply Chain Coordination</t>
  </si>
  <si>
    <t>Customer Service Management</t>
  </si>
  <si>
    <t>Compliance Management</t>
  </si>
  <si>
    <t>Seasonal Planning</t>
  </si>
  <si>
    <t>Budget Forecasting</t>
  </si>
  <si>
    <t>Daily Standups</t>
  </si>
  <si>
    <t>Performance Dashboards</t>
  </si>
  <si>
    <t>Mystery Shopping</t>
  </si>
  <si>
    <t>Standard Operating Procedures</t>
  </si>
  <si>
    <t>Organization</t>
  </si>
  <si>
    <t>Location</t>
  </si>
  <si>
    <t>Customer Satisfaction</t>
  </si>
  <si>
    <t>Operational Efficiency</t>
  </si>
  <si>
    <t>Team Development</t>
  </si>
  <si>
    <t>Brand Consistency</t>
  </si>
  <si>
    <t>Safety &amp; Compliance</t>
  </si>
  <si>
    <t>Profitability</t>
  </si>
  <si>
    <t>Community Engagement</t>
  </si>
  <si>
    <t>Tasks/Deliverables</t>
  </si>
  <si>
    <t>Opportunity</t>
  </si>
  <si>
    <t>From</t>
  </si>
  <si>
    <t>To</t>
  </si>
  <si>
    <t>Anytown, USA</t>
  </si>
  <si>
    <t>Name</t>
  </si>
  <si>
    <t>Approach</t>
  </si>
  <si>
    <t>Brand</t>
  </si>
  <si>
    <t>Alex</t>
  </si>
  <si>
    <t>Jordan</t>
  </si>
  <si>
    <t>Casey</t>
  </si>
  <si>
    <t>Taylor</t>
  </si>
  <si>
    <t>Morgan</t>
  </si>
  <si>
    <t>Riley</t>
  </si>
  <si>
    <t>Avery</t>
  </si>
  <si>
    <t>Quinn</t>
  </si>
  <si>
    <t>Sage</t>
  </si>
  <si>
    <t>River</t>
  </si>
  <si>
    <t>Chen</t>
  </si>
  <si>
    <t>Martinez</t>
  </si>
  <si>
    <t>Johnson</t>
  </si>
  <si>
    <t>Patel</t>
  </si>
  <si>
    <t>Williams</t>
  </si>
  <si>
    <t>Kim</t>
  </si>
  <si>
    <t>Davis</t>
  </si>
  <si>
    <t>Garcia</t>
  </si>
  <si>
    <t>Lee</t>
  </si>
  <si>
    <t>Brown</t>
  </si>
  <si>
    <t>Jamie</t>
  </si>
  <si>
    <t>Blake</t>
  </si>
  <si>
    <t>Reese</t>
  </si>
  <si>
    <t>Cameron</t>
  </si>
  <si>
    <t>Dakota</t>
  </si>
  <si>
    <t>Emery</t>
  </si>
  <si>
    <t>Finley</t>
  </si>
  <si>
    <t>Hayden</t>
  </si>
  <si>
    <t>Kendall</t>
  </si>
  <si>
    <t>Rowan</t>
  </si>
  <si>
    <t>Anderson</t>
  </si>
  <si>
    <t>Thompson</t>
  </si>
  <si>
    <t>Rodriguez</t>
  </si>
  <si>
    <t>Singh</t>
  </si>
  <si>
    <t>Wilson</t>
  </si>
  <si>
    <t>Moore</t>
  </si>
  <si>
    <t>Jackson</t>
  </si>
  <si>
    <t>White</t>
  </si>
  <si>
    <t>Lewis</t>
  </si>
  <si>
    <t>index</t>
  </si>
  <si>
    <t>first</t>
  </si>
  <si>
    <t>last</t>
  </si>
  <si>
    <t>Feb 2021</t>
  </si>
  <si>
    <t>Sep 2023</t>
  </si>
  <si>
    <t>Acme Retail</t>
  </si>
  <si>
    <t>Store Manager</t>
  </si>
  <si>
    <t>Retail/Hospitality</t>
  </si>
  <si>
    <t>Square</t>
  </si>
  <si>
    <t>Toast</t>
  </si>
  <si>
    <t>Shopify</t>
  </si>
  <si>
    <t>NetSuite</t>
  </si>
  <si>
    <t>TradeGecko</t>
  </si>
  <si>
    <t>Deputy</t>
  </si>
  <si>
    <t>Excel</t>
  </si>
  <si>
    <t>Slack</t>
  </si>
  <si>
    <t>PowerBI</t>
  </si>
  <si>
    <t>Salesforce</t>
  </si>
  <si>
    <t>ZenDesk</t>
  </si>
  <si>
    <t>Process Optimization</t>
  </si>
  <si>
    <t>Performance Monitoring</t>
  </si>
  <si>
    <t>Resource Allocation</t>
  </si>
  <si>
    <t>Cross-Functional Coordination</t>
  </si>
  <si>
    <t>Staff Scheduling</t>
  </si>
  <si>
    <t>Vendor Management</t>
  </si>
  <si>
    <t>Inventory Management</t>
  </si>
  <si>
    <t>Store Performance Management</t>
  </si>
  <si>
    <t>Staff Training and Development</t>
  </si>
  <si>
    <t>Mechandising Strategy</t>
  </si>
  <si>
    <t>Crisis management</t>
  </si>
  <si>
    <t>Multi-location Oversight</t>
  </si>
  <si>
    <t>Staff cross-training</t>
  </si>
  <si>
    <t>Retail Operations</t>
  </si>
  <si>
    <t>Rowan Davis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</si>
</sst>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1D5E7"/>
        <bgColor indexed="64"/>
      </patternFill>
    </fill>
    <fill>
      <patternFill patternType="solid">
        <fgColor rgb="FFD5E8D4"/>
        <bgColor indexed="64"/>
      </patternFill>
    </fill>
    <fill>
      <patternFill patternType="solid">
        <fgColor rgb="FFDAE8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left" indent="1"/>
    </xf>
    <xf numFmtId="0" fontId="0" fillId="0" borderId="6" xfId="0" applyBorder="1" applyAlignment="1">
      <alignment horizontal="left" indent="1"/>
    </xf>
    <xf numFmtId="0" fontId="1" fillId="5" borderId="0" xfId="0" applyFont="1" applyFill="1" applyAlignment="1">
      <alignment horizontal="right"/>
    </xf>
    <xf numFmtId="0" fontId="0" fillId="0" borderId="11" xfId="0" applyBorder="1"/>
    <xf numFmtId="0" fontId="1" fillId="3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6" borderId="7" xfId="0" applyFont="1" applyFill="1" applyBorder="1"/>
    <xf numFmtId="0" fontId="0" fillId="6" borderId="10" xfId="0" applyFill="1" applyBorder="1"/>
    <xf numFmtId="0" fontId="1" fillId="6" borderId="3" xfId="0" applyFont="1" applyFill="1" applyBorder="1" applyAlignment="1">
      <alignment horizontal="center"/>
    </xf>
    <xf numFmtId="0" fontId="0" fillId="6" borderId="4" xfId="0" applyFill="1" applyBorder="1"/>
    <xf numFmtId="0" fontId="0" fillId="6" borderId="5" xfId="0" applyFill="1" applyBorder="1"/>
    <xf numFmtId="0" fontId="0" fillId="6" borderId="12" xfId="0" applyFill="1" applyBorder="1"/>
    <xf numFmtId="0" fontId="0" fillId="6" borderId="11" xfId="0" applyFill="1" applyBorder="1"/>
    <xf numFmtId="0" fontId="1" fillId="6" borderId="4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0" fillId="6" borderId="2" xfId="0" applyFill="1" applyBorder="1"/>
    <xf numFmtId="0" fontId="0" fillId="3" borderId="0" xfId="0" applyFill="1"/>
    <xf numFmtId="0" fontId="0" fillId="2" borderId="0" xfId="0" applyFill="1"/>
    <xf numFmtId="0" fontId="0" fillId="4" borderId="0" xfId="0" applyFill="1"/>
    <xf numFmtId="0" fontId="1" fillId="4" borderId="0" xfId="0" applyFont="1" applyFill="1" applyAlignment="1">
      <alignment horizontal="centerContinuous"/>
    </xf>
    <xf numFmtId="0" fontId="0" fillId="6" borderId="0" xfId="0" applyFill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6" borderId="9" xfId="0" applyFill="1" applyBorder="1" applyAlignment="1">
      <alignment horizontal="right"/>
    </xf>
    <xf numFmtId="0" fontId="2" fillId="6" borderId="8" xfId="0" applyFont="1" applyFill="1" applyBorder="1" applyAlignment="1">
      <alignment horizontal="centerContinuous"/>
    </xf>
    <xf numFmtId="0" fontId="0" fillId="6" borderId="8" xfId="0" applyFill="1" applyBorder="1" applyAlignment="1">
      <alignment horizontal="centerContinuous"/>
    </xf>
    <xf numFmtId="0" fontId="0" fillId="0" borderId="0" xfId="0" applyAlignment="1" applyProtection="1">
      <alignment horizontal="left" indent="1"/>
      <protection locked="0"/>
    </xf>
    <xf numFmtId="49" fontId="0" fillId="0" borderId="0" xfId="0" applyNumberFormat="1" applyAlignment="1" applyProtection="1">
      <alignment horizontal="left" indent="1"/>
      <protection locked="0"/>
    </xf>
    <xf numFmtId="0" fontId="0" fillId="0" borderId="0" xfId="0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 applyProtection="1">
      <alignment horizontal="left" indent="1"/>
      <protection locked="0"/>
    </xf>
    <xf numFmtId="0" fontId="0" fillId="0" borderId="0" xfId="0" applyAlignment="1">
      <alignment horizontal="center"/>
    </xf>
  </cellXfs>
  <cellStyles count="1">
    <cellStyle name="Normal" xfId="0" builtinId="0"/>
  </cellStyles>
  <dxfs count="6"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</dxf>
    <dxf>
      <font>
        <color theme="0"/>
      </font>
    </dxf>
  </dxfs>
  <tableStyles count="0" defaultTableStyle="TableStyleMedium2" defaultPivotStyle="PivotStyleLight16"/>
  <colors>
    <mruColors>
      <color rgb="FFDAE8FC"/>
      <color rgb="FFD5E8D4"/>
      <color rgb="FFE1D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156882</xdr:colOff>
          <xdr:row>18</xdr:row>
          <xdr:rowOff>123264</xdr:rowOff>
        </xdr:from>
        <xdr:to>
          <xdr:col>15</xdr:col>
          <xdr:colOff>1628214</xdr:colOff>
          <xdr:row>37</xdr:row>
          <xdr:rowOff>133629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06ABBC4D-FCA4-1919-2E1C-CC28E5338F0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D$1:$AI$17" spid="_x0000_s107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031441" y="3356162"/>
              <a:ext cx="9769288" cy="3416953"/>
            </a:xfrm>
            <a:prstGeom prst="rect">
              <a:avLst/>
            </a:prstGeom>
            <a:ln>
              <a:noFill/>
            </a:ln>
            <a:effectLst>
              <a:outerShdw blurRad="292100" dist="139700" dir="2700000" algn="tl" rotWithShape="0">
                <a:srgbClr val="333333">
                  <a:alpha val="65000"/>
                </a:srgbClr>
              </a:outerShdw>
            </a:effectLst>
          </xdr:spPr>
        </xdr:pic>
        <xdr:clientData/>
      </xdr:twoCellAnchor>
    </mc:Choice>
    <mc:Fallback/>
  </mc:AlternateContent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DACFEC-E357-4205-A303-E06B7819AD81}" name="Table1" displayName="Table1" ref="A1:C21" totalsRowShown="0">
  <autoFilter ref="A1:C21" xr:uid="{FEDACFEC-E357-4205-A303-E06B7819AD81}"/>
  <tableColumns count="3">
    <tableColumn id="1" xr3:uid="{B68AA56A-4332-4D26-AA2C-F1A53AF8F246}" name="index"/>
    <tableColumn id="2" xr3:uid="{2FBF4AE8-10BE-49DC-A08D-B377AD3CB245}" name="first"/>
    <tableColumn id="3" xr3:uid="{E9C8B136-54A2-474F-A6BF-CBF27C756B26}" name="las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48163-AFAC-4B5E-B6D7-A630EDC47AB4}">
  <dimension ref="A1:AI17"/>
  <sheetViews>
    <sheetView showGridLines="0" tabSelected="1" zoomScale="85" zoomScaleNormal="85" workbookViewId="0">
      <selection activeCell="P15" sqref="P15"/>
    </sheetView>
  </sheetViews>
  <sheetFormatPr defaultRowHeight="14.25" x14ac:dyDescent="0.45"/>
  <cols>
    <col min="1" max="1" width="17.33203125" bestFit="1" customWidth="1"/>
    <col min="2" max="2" width="17.53125" bestFit="1" customWidth="1"/>
    <col min="3" max="3" width="3.46484375" customWidth="1"/>
    <col min="5" max="5" width="17.33203125" bestFit="1" customWidth="1"/>
    <col min="6" max="6" width="3.46484375" customWidth="1"/>
    <col min="7" max="7" width="25.86328125" customWidth="1"/>
    <col min="8" max="8" width="3.46484375" customWidth="1"/>
    <col min="9" max="9" width="24.6640625" customWidth="1"/>
    <col min="10" max="10" width="3.46484375" customWidth="1"/>
    <col min="11" max="11" width="9.6640625" hidden="1" customWidth="1"/>
    <col min="12" max="12" width="25.86328125" customWidth="1"/>
    <col min="13" max="13" width="3.46484375" customWidth="1"/>
    <col min="14" max="14" width="25.86328125" customWidth="1"/>
    <col min="15" max="15" width="3.46484375" customWidth="1"/>
    <col min="16" max="16" width="25.86328125" customWidth="1"/>
    <col min="28" max="28" width="9.06640625" style="40"/>
    <col min="30" max="33" width="29.9296875" customWidth="1"/>
    <col min="34" max="34" width="1.86328125" customWidth="1"/>
    <col min="35" max="35" width="13.3984375" customWidth="1"/>
    <col min="36" max="36" width="24.3984375" bestFit="1" customWidth="1"/>
  </cols>
  <sheetData>
    <row r="1" spans="1:35" x14ac:dyDescent="0.45">
      <c r="A1" s="9" t="s">
        <v>33</v>
      </c>
      <c r="B1" s="36" t="s">
        <v>108</v>
      </c>
      <c r="D1" s="2" t="s">
        <v>8</v>
      </c>
      <c r="E1" s="2" t="s">
        <v>0</v>
      </c>
      <c r="G1" s="2" t="s">
        <v>4</v>
      </c>
      <c r="I1" s="1" t="s">
        <v>28</v>
      </c>
      <c r="L1" s="4" t="s">
        <v>5</v>
      </c>
      <c r="N1" s="4" t="s">
        <v>6</v>
      </c>
      <c r="P1" s="4" t="s">
        <v>7</v>
      </c>
      <c r="AD1" s="15" t="str">
        <f>B1&amp; " ("&amp;B2&amp;")"</f>
        <v>Rowan Davis (Retail Operations)</v>
      </c>
      <c r="AE1" s="34" t="str">
        <f>B7&amp;" with "&amp;B3&amp;" ("&amp;B4&amp;")"</f>
        <v>Store Manager with Acme Retail (Anytown, USA)</v>
      </c>
      <c r="AF1" s="35"/>
      <c r="AG1" s="33" t="str">
        <f>B5&amp;" - "&amp;B6</f>
        <v>Feb 2021 - Sep 2023</v>
      </c>
    </row>
    <row r="2" spans="1:35" x14ac:dyDescent="0.45">
      <c r="A2" s="5" t="s">
        <v>1</v>
      </c>
      <c r="B2" s="36" t="s">
        <v>107</v>
      </c>
      <c r="D2" s="38" t="b">
        <v>1</v>
      </c>
      <c r="E2" s="36" t="s">
        <v>83</v>
      </c>
      <c r="F2" s="7"/>
      <c r="G2" s="36" t="s">
        <v>94</v>
      </c>
      <c r="H2" s="7"/>
      <c r="I2" s="36" t="s">
        <v>98</v>
      </c>
      <c r="J2" s="7"/>
      <c r="K2" s="7" t="b">
        <f>IF(L2="","",ISEVEN(ROW()))</f>
        <v>1</v>
      </c>
      <c r="L2" s="36" t="s">
        <v>9</v>
      </c>
      <c r="M2" s="7"/>
      <c r="N2" s="36" t="s">
        <v>15</v>
      </c>
      <c r="O2" s="7"/>
      <c r="P2" s="36" t="s">
        <v>21</v>
      </c>
      <c r="AD2" s="13" t="str" cm="1">
        <f t="array" ref="AD2:AD15">_xlfn.VSTACK(
"Tools",
"Core","  • "&amp;_xlfn._xlws.FILTER(E1:E17,D1:D17=TRUE),
"Incidental","  • "&amp;_xlfn._xlws.FILTER(E1:E17,(D1:D17=FALSE)*(E1:E17&lt;&gt;"")))</f>
        <v>Tools</v>
      </c>
      <c r="AE2" s="12" t="str" cm="1">
        <f t="array" ref="AE2:AE7">_xlfn.VSTACK("Profession",B2,"  • "&amp;_xlfn._xlws.FILTER(G2:G7,G2:G7&lt;&gt;""))</f>
        <v>Profession</v>
      </c>
      <c r="AF2" s="11" t="str" cm="1">
        <f t="array" ref="AF2:AF8">_xlfn.VSTACK("Job",B7,B8,"  • "&amp;_xlfn._xlws.FILTER(I2:I6,I2:I6&lt;&gt;""))</f>
        <v>Job</v>
      </c>
      <c r="AG2" s="14" t="str" cm="1">
        <f t="array" ref="AG2:AG15">_xlfn.VSTACK(
"Practices","  • "&amp;_xlfn._xlws.FILTER(N2:N17,N2:N17&lt;&gt;""),
"Priorities","  • "&amp;_xlfn._xlws.FILTER(P2:P17,P2:P17&lt;&gt;""))</f>
        <v>Practices</v>
      </c>
    </row>
    <row r="3" spans="1:35" x14ac:dyDescent="0.45">
      <c r="A3" s="9" t="s">
        <v>19</v>
      </c>
      <c r="B3" s="36" t="s">
        <v>80</v>
      </c>
      <c r="D3" s="38" t="b">
        <v>1</v>
      </c>
      <c r="E3" s="36" t="s">
        <v>84</v>
      </c>
      <c r="F3" s="7"/>
      <c r="G3" s="36" t="s">
        <v>95</v>
      </c>
      <c r="H3" s="7"/>
      <c r="I3" s="36" t="s">
        <v>99</v>
      </c>
      <c r="J3" s="7"/>
      <c r="K3" s="7" t="b">
        <f t="shared" ref="K3:K17" si="0">IF(L3="","",ISEVEN(ROW()))</f>
        <v>0</v>
      </c>
      <c r="L3" s="36" t="s">
        <v>102</v>
      </c>
      <c r="M3" s="7"/>
      <c r="N3" s="36" t="s">
        <v>16</v>
      </c>
      <c r="O3" s="7"/>
      <c r="P3" s="36" t="s">
        <v>22</v>
      </c>
      <c r="AD3" s="16" t="str">
        <v>Core</v>
      </c>
      <c r="AE3" s="17" t="str">
        <v>Retail Operations</v>
      </c>
      <c r="AF3" s="22" t="str">
        <v>Store Manager</v>
      </c>
      <c r="AG3" s="21" t="str">
        <v xml:space="preserve">  • Daily Standups</v>
      </c>
    </row>
    <row r="4" spans="1:35" x14ac:dyDescent="0.45">
      <c r="A4" s="9" t="s">
        <v>20</v>
      </c>
      <c r="B4" s="36" t="s">
        <v>32</v>
      </c>
      <c r="D4" s="38" t="b">
        <v>1</v>
      </c>
      <c r="E4" s="36" t="s">
        <v>85</v>
      </c>
      <c r="F4" s="7"/>
      <c r="G4" s="36" t="s">
        <v>96</v>
      </c>
      <c r="H4" s="7"/>
      <c r="I4" s="36" t="s">
        <v>100</v>
      </c>
      <c r="J4" s="7"/>
      <c r="K4" s="7" t="b">
        <f t="shared" si="0"/>
        <v>1</v>
      </c>
      <c r="L4" s="36" t="s">
        <v>103</v>
      </c>
      <c r="M4" s="7"/>
      <c r="N4" s="36" t="s">
        <v>17</v>
      </c>
      <c r="O4" s="7"/>
      <c r="P4" s="36" t="s">
        <v>23</v>
      </c>
      <c r="AD4" s="16" t="str">
        <v xml:space="preserve">  • Square</v>
      </c>
      <c r="AE4" s="18" t="str">
        <v xml:space="preserve">  • Process Optimization</v>
      </c>
      <c r="AF4" s="23" t="str">
        <v>Retail/Hospitality</v>
      </c>
      <c r="AG4" s="21" t="str">
        <v xml:space="preserve">  • Performance Dashboards</v>
      </c>
    </row>
    <row r="5" spans="1:35" x14ac:dyDescent="0.45">
      <c r="A5" s="9" t="s">
        <v>30</v>
      </c>
      <c r="B5" s="37" t="s">
        <v>78</v>
      </c>
      <c r="D5" s="38" t="b">
        <v>1</v>
      </c>
      <c r="E5" s="36" t="s">
        <v>86</v>
      </c>
      <c r="F5" s="7"/>
      <c r="G5" s="36" t="s">
        <v>97</v>
      </c>
      <c r="H5" s="7"/>
      <c r="I5" s="36" t="s">
        <v>101</v>
      </c>
      <c r="J5" s="7"/>
      <c r="K5" s="7" t="b">
        <f t="shared" si="0"/>
        <v>0</v>
      </c>
      <c r="L5" s="36" t="s">
        <v>10</v>
      </c>
      <c r="M5" s="7"/>
      <c r="N5" s="36" t="s">
        <v>106</v>
      </c>
      <c r="O5" s="7"/>
      <c r="P5" s="36" t="s">
        <v>24</v>
      </c>
      <c r="AD5" s="16" t="str">
        <v xml:space="preserve">  • Toast</v>
      </c>
      <c r="AE5" s="18" t="str">
        <v xml:space="preserve">  • Performance Monitoring</v>
      </c>
      <c r="AF5" s="18" t="str">
        <v xml:space="preserve">  • Staff Scheduling</v>
      </c>
      <c r="AG5" s="21" t="str">
        <v xml:space="preserve">  • Mystery Shopping</v>
      </c>
    </row>
    <row r="6" spans="1:35" x14ac:dyDescent="0.45">
      <c r="A6" s="9" t="s">
        <v>31</v>
      </c>
      <c r="B6" s="37" t="s">
        <v>79</v>
      </c>
      <c r="D6" s="38" t="b">
        <v>1</v>
      </c>
      <c r="E6" s="36" t="s">
        <v>87</v>
      </c>
      <c r="F6" s="7"/>
      <c r="G6" s="36"/>
      <c r="H6" s="7"/>
      <c r="I6" s="36"/>
      <c r="J6" s="7"/>
      <c r="K6" s="7" t="b">
        <f t="shared" si="0"/>
        <v>1</v>
      </c>
      <c r="L6" s="36" t="s">
        <v>11</v>
      </c>
      <c r="M6" s="7"/>
      <c r="N6" s="36" t="s">
        <v>18</v>
      </c>
      <c r="O6" s="7"/>
      <c r="P6" s="36" t="s">
        <v>25</v>
      </c>
      <c r="AD6" s="16" t="str">
        <v xml:space="preserve">  • Shopify</v>
      </c>
      <c r="AE6" s="18" t="str">
        <v xml:space="preserve">  • Resource Allocation</v>
      </c>
      <c r="AF6" s="18" t="str">
        <v xml:space="preserve">  • Vendor Management</v>
      </c>
      <c r="AG6" s="21" t="str">
        <v xml:space="preserve">  • Staff cross-training</v>
      </c>
    </row>
    <row r="7" spans="1:35" x14ac:dyDescent="0.45">
      <c r="A7" s="3" t="s">
        <v>2</v>
      </c>
      <c r="B7" s="36" t="s">
        <v>81</v>
      </c>
      <c r="D7" s="38" t="b">
        <v>1</v>
      </c>
      <c r="E7" s="36" t="s">
        <v>88</v>
      </c>
      <c r="F7" s="7"/>
      <c r="G7" s="36"/>
      <c r="H7" s="7"/>
      <c r="I7" s="8"/>
      <c r="J7" s="7"/>
      <c r="K7" s="7" t="b">
        <f t="shared" si="0"/>
        <v>0</v>
      </c>
      <c r="L7" s="36" t="s">
        <v>12</v>
      </c>
      <c r="M7" s="7"/>
      <c r="N7" s="36"/>
      <c r="O7" s="7"/>
      <c r="P7" s="36" t="s">
        <v>26</v>
      </c>
      <c r="AD7" s="16" t="str">
        <v xml:space="preserve">  • NetSuite</v>
      </c>
      <c r="AE7" s="18" t="str">
        <v xml:space="preserve">  • Cross-Functional Coordination</v>
      </c>
      <c r="AF7" s="18" t="str">
        <v xml:space="preserve">  • Inventory Management</v>
      </c>
      <c r="AG7" s="21" t="str">
        <v xml:space="preserve">  • Standard Operating Procedures</v>
      </c>
    </row>
    <row r="8" spans="1:35" x14ac:dyDescent="0.45">
      <c r="A8" s="3" t="s">
        <v>3</v>
      </c>
      <c r="B8" s="36" t="s">
        <v>82</v>
      </c>
      <c r="D8" s="38" t="b">
        <v>1</v>
      </c>
      <c r="E8" s="36" t="s">
        <v>89</v>
      </c>
      <c r="F8" s="7"/>
      <c r="G8" s="8"/>
      <c r="H8" s="7"/>
      <c r="I8" s="7"/>
      <c r="J8" s="7"/>
      <c r="K8" s="7" t="b">
        <f t="shared" si="0"/>
        <v>1</v>
      </c>
      <c r="L8" s="36" t="s">
        <v>105</v>
      </c>
      <c r="M8" s="7"/>
      <c r="N8" s="36"/>
      <c r="O8" s="7"/>
      <c r="P8" s="36" t="s">
        <v>27</v>
      </c>
      <c r="AD8" s="16" t="str">
        <v xml:space="preserve">  • TradeGecko</v>
      </c>
      <c r="AE8" s="18"/>
      <c r="AF8" s="18" t="str">
        <v xml:space="preserve">  • Store Performance Management</v>
      </c>
      <c r="AG8" s="10" t="str">
        <v>Priorities</v>
      </c>
    </row>
    <row r="9" spans="1:35" x14ac:dyDescent="0.45">
      <c r="D9" s="38" t="b">
        <v>1</v>
      </c>
      <c r="E9" s="36" t="s">
        <v>90</v>
      </c>
      <c r="F9" s="7"/>
      <c r="G9" s="7"/>
      <c r="H9" s="7"/>
      <c r="I9" s="7"/>
      <c r="J9" s="7"/>
      <c r="K9" s="7" t="b">
        <f t="shared" si="0"/>
        <v>0</v>
      </c>
      <c r="L9" s="36" t="s">
        <v>104</v>
      </c>
      <c r="M9" s="7"/>
      <c r="N9" s="36"/>
      <c r="O9" s="7"/>
      <c r="P9" s="36"/>
      <c r="AD9" s="16" t="str">
        <v xml:space="preserve">  • Deputy</v>
      </c>
      <c r="AE9" s="19"/>
      <c r="AF9" s="24"/>
      <c r="AG9" s="21" t="str">
        <v xml:space="preserve">  • Customer Satisfaction</v>
      </c>
    </row>
    <row r="10" spans="1:35" x14ac:dyDescent="0.45">
      <c r="D10" s="38" t="b">
        <v>0</v>
      </c>
      <c r="E10" s="36" t="s">
        <v>91</v>
      </c>
      <c r="F10" s="7"/>
      <c r="G10" s="7"/>
      <c r="H10" s="7"/>
      <c r="I10" s="7"/>
      <c r="J10" s="7"/>
      <c r="K10" s="7" t="b">
        <f t="shared" si="0"/>
        <v>1</v>
      </c>
      <c r="L10" s="36" t="s">
        <v>13</v>
      </c>
      <c r="M10" s="7"/>
      <c r="N10" s="8"/>
      <c r="O10" s="7"/>
      <c r="P10" s="8"/>
      <c r="AD10" s="20" t="str">
        <v xml:space="preserve">  • Excel</v>
      </c>
      <c r="AE10" s="28" t="s">
        <v>5</v>
      </c>
      <c r="AF10" s="28"/>
      <c r="AG10" s="21" t="str">
        <v xml:space="preserve">  • Operational Efficiency</v>
      </c>
    </row>
    <row r="11" spans="1:35" x14ac:dyDescent="0.45">
      <c r="D11" s="38" t="b">
        <v>0</v>
      </c>
      <c r="E11" s="36" t="s">
        <v>92</v>
      </c>
      <c r="F11" s="7"/>
      <c r="G11" s="7"/>
      <c r="H11" s="7"/>
      <c r="I11" s="7"/>
      <c r="J11" s="7"/>
      <c r="K11" s="7" t="b">
        <f t="shared" si="0"/>
        <v>0</v>
      </c>
      <c r="L11" s="36" t="s">
        <v>14</v>
      </c>
      <c r="M11" s="7"/>
      <c r="N11" s="7"/>
      <c r="O11" s="7"/>
      <c r="P11" s="7"/>
      <c r="AD11" s="20" t="str">
        <v xml:space="preserve">  • Slack</v>
      </c>
      <c r="AE11" s="29" t="str" cm="1">
        <f t="array" ref="AE11:AF15">IFERROR(_xlfn.VSTACK(IFERROR(_xlfn.HSTACK(
" • "&amp;_xlfn._xlws.FILTER(L2:L17,K2:K17=TRUE),
" • "&amp;_xlfn._xlws.FILTER(L2:L17,(K2:K17=FALSE)*(L2:L17&lt;&gt;""))),"")),"")</f>
        <v xml:space="preserve"> • P&amp;L Management</v>
      </c>
      <c r="AF11" s="29" t="str">
        <v xml:space="preserve"> • Staff Training and Development</v>
      </c>
      <c r="AG11" s="21" t="str">
        <v xml:space="preserve">  • Team Development</v>
      </c>
    </row>
    <row r="12" spans="1:35" x14ac:dyDescent="0.45">
      <c r="D12" s="38" t="b">
        <v>0</v>
      </c>
      <c r="E12" s="36" t="s">
        <v>93</v>
      </c>
      <c r="F12" s="7"/>
      <c r="G12" s="7"/>
      <c r="H12" s="7"/>
      <c r="I12" s="7"/>
      <c r="J12" s="7"/>
      <c r="K12" s="7" t="str">
        <f t="shared" si="0"/>
        <v/>
      </c>
      <c r="L12" s="36"/>
      <c r="M12" s="7"/>
      <c r="N12" s="7"/>
      <c r="O12" s="7"/>
      <c r="P12" s="7"/>
      <c r="AD12" s="20" t="str">
        <v>Incidental</v>
      </c>
      <c r="AE12" s="29" t="str">
        <v xml:space="preserve"> • Mechandising Strategy</v>
      </c>
      <c r="AF12" s="29" t="str">
        <v xml:space="preserve"> • Supply Chain Coordination</v>
      </c>
      <c r="AG12" s="21" t="str">
        <v xml:space="preserve">  • Brand Consistency</v>
      </c>
    </row>
    <row r="13" spans="1:35" x14ac:dyDescent="0.45">
      <c r="D13" s="38" t="b">
        <v>0</v>
      </c>
      <c r="E13" s="36"/>
      <c r="F13" s="7"/>
      <c r="G13" s="7"/>
      <c r="H13" s="7"/>
      <c r="I13" s="7"/>
      <c r="J13" s="7"/>
      <c r="K13" s="7" t="str">
        <f t="shared" si="0"/>
        <v/>
      </c>
      <c r="L13" s="36"/>
      <c r="M13" s="7"/>
      <c r="N13" s="7"/>
      <c r="O13" s="7"/>
      <c r="P13" s="7"/>
      <c r="AD13" s="20" t="str">
        <v xml:space="preserve">  • PowerBI</v>
      </c>
      <c r="AE13" s="29" t="str">
        <v xml:space="preserve"> • Customer Service Management</v>
      </c>
      <c r="AF13" s="29" t="str">
        <v xml:space="preserve"> • Compliance Management</v>
      </c>
      <c r="AG13" s="21" t="str">
        <v xml:space="preserve">  • Safety &amp; Compliance</v>
      </c>
    </row>
    <row r="14" spans="1:35" x14ac:dyDescent="0.45">
      <c r="D14" s="38" t="b">
        <v>0</v>
      </c>
      <c r="E14" s="36"/>
      <c r="F14" s="7"/>
      <c r="G14" s="7"/>
      <c r="H14" s="7"/>
      <c r="I14" s="7"/>
      <c r="J14" s="7"/>
      <c r="K14" s="7" t="str">
        <f t="shared" si="0"/>
        <v/>
      </c>
      <c r="L14" s="36"/>
      <c r="M14" s="7"/>
      <c r="N14" s="7"/>
      <c r="O14" s="7"/>
      <c r="P14" s="7"/>
      <c r="AD14" s="20" t="str">
        <v xml:space="preserve">  • Salesforce</v>
      </c>
      <c r="AE14" s="29" t="str">
        <v xml:space="preserve"> • Multi-location Oversight</v>
      </c>
      <c r="AF14" s="29" t="str">
        <v xml:space="preserve"> • Crisis management</v>
      </c>
      <c r="AG14" s="21" t="str">
        <v xml:space="preserve">  • Profitability</v>
      </c>
    </row>
    <row r="15" spans="1:35" x14ac:dyDescent="0.45">
      <c r="D15" s="38" t="b">
        <v>0</v>
      </c>
      <c r="E15" s="39"/>
      <c r="F15" s="7"/>
      <c r="G15" s="7"/>
      <c r="H15" s="7"/>
      <c r="I15" s="7"/>
      <c r="J15" s="7"/>
      <c r="K15" s="7" t="str">
        <f t="shared" si="0"/>
        <v/>
      </c>
      <c r="L15" s="36"/>
      <c r="M15" s="7"/>
      <c r="N15" s="7"/>
      <c r="O15" s="7"/>
      <c r="P15" s="7"/>
      <c r="AD15" s="20" t="str">
        <v xml:space="preserve">  • ZenDesk</v>
      </c>
      <c r="AE15" s="29" t="str">
        <v xml:space="preserve"> • Seasonal Planning</v>
      </c>
      <c r="AF15" s="29" t="str">
        <v xml:space="preserve"> • Budget Forecasting</v>
      </c>
      <c r="AG15" s="21" t="str">
        <v xml:space="preserve">  • Community Engagement</v>
      </c>
      <c r="AI15" s="25" t="s">
        <v>29</v>
      </c>
    </row>
    <row r="16" spans="1:35" x14ac:dyDescent="0.45">
      <c r="D16" s="38" t="b">
        <v>0</v>
      </c>
      <c r="E16" s="36"/>
      <c r="F16" s="7"/>
      <c r="G16" s="7"/>
      <c r="H16" s="7"/>
      <c r="I16" s="7"/>
      <c r="J16" s="7"/>
      <c r="K16" s="7" t="str">
        <f t="shared" si="0"/>
        <v/>
      </c>
      <c r="L16" s="8"/>
      <c r="M16" s="7"/>
      <c r="N16" s="7"/>
      <c r="O16" s="7"/>
      <c r="P16" s="7"/>
      <c r="AD16" s="20"/>
      <c r="AE16" s="29"/>
      <c r="AF16" s="29"/>
      <c r="AG16" s="21"/>
      <c r="AI16" s="26" t="s">
        <v>34</v>
      </c>
    </row>
    <row r="17" spans="4:35" ht="14.65" thickBot="1" x14ac:dyDescent="0.5">
      <c r="D17" s="6" t="b">
        <v>0</v>
      </c>
      <c r="E17" s="7"/>
      <c r="F17" s="7"/>
      <c r="G17" s="7"/>
      <c r="H17" s="7"/>
      <c r="I17" s="7"/>
      <c r="J17" s="7"/>
      <c r="K17" s="7" t="str">
        <f t="shared" si="0"/>
        <v/>
      </c>
      <c r="L17" s="7"/>
      <c r="M17" s="7"/>
      <c r="N17" s="7"/>
      <c r="O17" s="7"/>
      <c r="P17" s="7"/>
      <c r="AD17" s="30"/>
      <c r="AE17" s="31"/>
      <c r="AF17" s="31"/>
      <c r="AG17" s="32"/>
      <c r="AI17" s="27" t="s">
        <v>35</v>
      </c>
    </row>
  </sheetData>
  <sheetProtection selectLockedCells="1"/>
  <conditionalFormatting sqref="D2:D17">
    <cfRule type="expression" dxfId="5" priority="9">
      <formula>$E2=""</formula>
    </cfRule>
  </conditionalFormatting>
  <conditionalFormatting sqref="AD2:AE2">
    <cfRule type="expression" dxfId="4" priority="5">
      <formula>OR(AD2="Core",AD2="Incidental")</formula>
    </cfRule>
  </conditionalFormatting>
  <conditionalFormatting sqref="AG2 AD3:AD1048576">
    <cfRule type="expression" dxfId="3" priority="8">
      <formula>OR(AD2="Core",AD2="Incidental")</formula>
    </cfRule>
  </conditionalFormatting>
  <conditionalFormatting sqref="AG2:AG1048576">
    <cfRule type="expression" dxfId="2" priority="6">
      <formula>OR(AG2="Practices",AG2="Priorities")</formula>
    </cfRule>
  </conditionalFormatting>
  <conditionalFormatting sqref="AI16:AI17">
    <cfRule type="expression" dxfId="1" priority="2">
      <formula>OR(AI16="Core",AI16="Incidental")</formula>
    </cfRule>
  </conditionalFormatting>
  <conditionalFormatting sqref="AI17">
    <cfRule type="expression" dxfId="0" priority="1">
      <formula>OR(AI17="Practices",AI17="Priorities")</formula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34B1-B47F-451A-9952-E15FBC3697C2}">
  <dimension ref="A1:C21"/>
  <sheetViews>
    <sheetView workbookViewId="0">
      <selection activeCell="E1" sqref="E1"/>
    </sheetView>
  </sheetViews>
  <sheetFormatPr defaultRowHeight="14.25" x14ac:dyDescent="0.45"/>
  <cols>
    <col min="1" max="3" width="9.796875" customWidth="1"/>
  </cols>
  <sheetData>
    <row r="1" spans="1:3" x14ac:dyDescent="0.45">
      <c r="A1" t="s">
        <v>75</v>
      </c>
      <c r="B1" t="s">
        <v>76</v>
      </c>
      <c r="C1" t="s">
        <v>77</v>
      </c>
    </row>
    <row r="2" spans="1:3" x14ac:dyDescent="0.45">
      <c r="A2">
        <v>1</v>
      </c>
      <c r="B2" t="s">
        <v>36</v>
      </c>
      <c r="C2" t="s">
        <v>46</v>
      </c>
    </row>
    <row r="3" spans="1:3" x14ac:dyDescent="0.45">
      <c r="A3">
        <v>2</v>
      </c>
      <c r="B3" t="s">
        <v>37</v>
      </c>
      <c r="C3" t="s">
        <v>47</v>
      </c>
    </row>
    <row r="4" spans="1:3" x14ac:dyDescent="0.45">
      <c r="A4">
        <v>3</v>
      </c>
      <c r="B4" t="s">
        <v>38</v>
      </c>
      <c r="C4" t="s">
        <v>48</v>
      </c>
    </row>
    <row r="5" spans="1:3" x14ac:dyDescent="0.45">
      <c r="A5">
        <v>4</v>
      </c>
      <c r="B5" t="s">
        <v>39</v>
      </c>
      <c r="C5" t="s">
        <v>49</v>
      </c>
    </row>
    <row r="6" spans="1:3" x14ac:dyDescent="0.45">
      <c r="A6">
        <v>5</v>
      </c>
      <c r="B6" t="s">
        <v>40</v>
      </c>
      <c r="C6" t="s">
        <v>50</v>
      </c>
    </row>
    <row r="7" spans="1:3" x14ac:dyDescent="0.45">
      <c r="A7">
        <v>6</v>
      </c>
      <c r="B7" t="s">
        <v>41</v>
      </c>
      <c r="C7" t="s">
        <v>51</v>
      </c>
    </row>
    <row r="8" spans="1:3" x14ac:dyDescent="0.45">
      <c r="A8">
        <v>7</v>
      </c>
      <c r="B8" t="s">
        <v>42</v>
      </c>
      <c r="C8" t="s">
        <v>52</v>
      </c>
    </row>
    <row r="9" spans="1:3" x14ac:dyDescent="0.45">
      <c r="A9">
        <v>8</v>
      </c>
      <c r="B9" t="s">
        <v>43</v>
      </c>
      <c r="C9" t="s">
        <v>53</v>
      </c>
    </row>
    <row r="10" spans="1:3" x14ac:dyDescent="0.45">
      <c r="A10">
        <v>9</v>
      </c>
      <c r="B10" t="s">
        <v>44</v>
      </c>
      <c r="C10" t="s">
        <v>54</v>
      </c>
    </row>
    <row r="11" spans="1:3" x14ac:dyDescent="0.45">
      <c r="A11">
        <v>10</v>
      </c>
      <c r="B11" t="s">
        <v>45</v>
      </c>
      <c r="C11" t="s">
        <v>55</v>
      </c>
    </row>
    <row r="12" spans="1:3" x14ac:dyDescent="0.45">
      <c r="A12">
        <v>11</v>
      </c>
      <c r="B12" t="s">
        <v>56</v>
      </c>
      <c r="C12" t="s">
        <v>66</v>
      </c>
    </row>
    <row r="13" spans="1:3" x14ac:dyDescent="0.45">
      <c r="A13">
        <v>12</v>
      </c>
      <c r="B13" t="s">
        <v>57</v>
      </c>
      <c r="C13" t="s">
        <v>67</v>
      </c>
    </row>
    <row r="14" spans="1:3" x14ac:dyDescent="0.45">
      <c r="A14">
        <v>13</v>
      </c>
      <c r="B14" t="s">
        <v>58</v>
      </c>
      <c r="C14" t="s">
        <v>68</v>
      </c>
    </row>
    <row r="15" spans="1:3" x14ac:dyDescent="0.45">
      <c r="A15">
        <v>14</v>
      </c>
      <c r="B15" t="s">
        <v>59</v>
      </c>
      <c r="C15" t="s">
        <v>69</v>
      </c>
    </row>
    <row r="16" spans="1:3" x14ac:dyDescent="0.45">
      <c r="A16">
        <v>15</v>
      </c>
      <c r="B16" t="s">
        <v>60</v>
      </c>
      <c r="C16" t="s">
        <v>70</v>
      </c>
    </row>
    <row r="17" spans="1:3" x14ac:dyDescent="0.45">
      <c r="A17">
        <v>16</v>
      </c>
      <c r="B17" t="s">
        <v>61</v>
      </c>
      <c r="C17" t="s">
        <v>39</v>
      </c>
    </row>
    <row r="18" spans="1:3" x14ac:dyDescent="0.45">
      <c r="A18">
        <v>17</v>
      </c>
      <c r="B18" t="s">
        <v>62</v>
      </c>
      <c r="C18" t="s">
        <v>71</v>
      </c>
    </row>
    <row r="19" spans="1:3" x14ac:dyDescent="0.45">
      <c r="A19">
        <v>18</v>
      </c>
      <c r="B19" t="s">
        <v>63</v>
      </c>
      <c r="C19" t="s">
        <v>72</v>
      </c>
    </row>
    <row r="20" spans="1:3" x14ac:dyDescent="0.45">
      <c r="A20">
        <v>19</v>
      </c>
      <c r="B20" t="s">
        <v>64</v>
      </c>
      <c r="C20" t="s">
        <v>73</v>
      </c>
    </row>
    <row r="21" spans="1:3" x14ac:dyDescent="0.45">
      <c r="A21">
        <v>20</v>
      </c>
      <c r="B21" t="s">
        <v>65</v>
      </c>
      <c r="C21" t="s">
        <v>74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careerstop</vt:lpstr>
      <vt:lpstr>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Galjan</dc:creator>
  <cp:lastModifiedBy>Paul Galjan</cp:lastModifiedBy>
  <dcterms:created xsi:type="dcterms:W3CDTF">2025-07-20T10:41:48Z</dcterms:created>
  <dcterms:modified xsi:type="dcterms:W3CDTF">2025-07-20T14:31:05Z</dcterms:modified>
</cp:coreProperties>
</file>