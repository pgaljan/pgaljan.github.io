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0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alja\pgaljan.github.io\"/>
    </mc:Choice>
  </mc:AlternateContent>
  <xr:revisionPtr revIDLastSave="0" documentId="13_ncr:1_{ED2A44B5-1298-4724-A6A9-253030ADA587}" xr6:coauthVersionLast="47" xr6:coauthVersionMax="47" xr10:uidLastSave="{00000000-0000-0000-0000-000000000000}"/>
  <bookViews>
    <workbookView xWindow="-28898" yWindow="-37" windowWidth="28996" windowHeight="15675" xr2:uid="{D14A6CAB-8ABE-4996-ABD5-087D26C23723}"/>
  </bookViews>
  <sheets>
    <sheet name="careerstop" sheetId="1" r:id="rId1"/>
    <sheet name="names" sheetId="2" r:id="rId2"/>
  </sheets>
  <definedNames>
    <definedName name="randomName">_xlfn.XLOOKUP(RANDBETWEEN(1,20),names[index],names[first]) &amp; " " &amp; _xlfn.XLOOKUP(RANDBETWEEN(1,20),names[index],names[last])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149" i="1" l="1" a="1"/>
  <c r="AG150" i="1" a="1"/>
  <c r="AF149" i="1" a="1"/>
  <c r="AG147" i="1"/>
  <c r="E1" i="2"/>
  <c r="A2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D147" i="1"/>
  <c r="AE165" i="1" a="1"/>
  <c r="AD148" i="1"/>
  <c r="AE147" i="1"/>
  <c r="AD149" i="1" a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4" i="1"/>
  <c r="AG150" i="1" l="1"/>
  <c r="AF149" i="1"/>
  <c r="AE149" i="1"/>
  <c r="AE165" i="1"/>
  <c r="AE158" i="1" a="1"/>
  <c r="AD149" i="1"/>
  <c r="AE158" i="1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<sst xmlns="http://schemas.openxmlformats.org/spreadsheetml/2006/main" count="352" uniqueCount="309">
  <si>
    <t>Tools</t>
  </si>
  <si>
    <t>Profession</t>
  </si>
  <si>
    <t>Job Title</t>
  </si>
  <si>
    <t>Trade</t>
  </si>
  <si>
    <t>Professional Priorities</t>
  </si>
  <si>
    <t>Competencies</t>
  </si>
  <si>
    <t>Practices</t>
  </si>
  <si>
    <t>Priorities</t>
  </si>
  <si>
    <t>Core</t>
  </si>
  <si>
    <t>Organization</t>
  </si>
  <si>
    <t>Location</t>
  </si>
  <si>
    <t>Tasks/Deliverables</t>
  </si>
  <si>
    <t>Opportunity</t>
  </si>
  <si>
    <t>From</t>
  </si>
  <si>
    <t>To</t>
  </si>
  <si>
    <t>Name</t>
  </si>
  <si>
    <t>Approach</t>
  </si>
  <si>
    <t>Brand</t>
  </si>
  <si>
    <t>Alex</t>
  </si>
  <si>
    <t>Jordan</t>
  </si>
  <si>
    <t>Casey</t>
  </si>
  <si>
    <t>Taylor</t>
  </si>
  <si>
    <t>Morgan</t>
  </si>
  <si>
    <t>Riley</t>
  </si>
  <si>
    <t>Avery</t>
  </si>
  <si>
    <t>Quinn</t>
  </si>
  <si>
    <t>Sage</t>
  </si>
  <si>
    <t>River</t>
  </si>
  <si>
    <t>Chen</t>
  </si>
  <si>
    <t>Martinez</t>
  </si>
  <si>
    <t>Johnson</t>
  </si>
  <si>
    <t>Patel</t>
  </si>
  <si>
    <t>Williams</t>
  </si>
  <si>
    <t>Kim</t>
  </si>
  <si>
    <t>Davis</t>
  </si>
  <si>
    <t>Garcia</t>
  </si>
  <si>
    <t>Lee</t>
  </si>
  <si>
    <t>Brown</t>
  </si>
  <si>
    <t>Jamie</t>
  </si>
  <si>
    <t>Blake</t>
  </si>
  <si>
    <t>Reese</t>
  </si>
  <si>
    <t>Cameron</t>
  </si>
  <si>
    <t>Dakota</t>
  </si>
  <si>
    <t>Emery</t>
  </si>
  <si>
    <t>Finley</t>
  </si>
  <si>
    <t>Hayden</t>
  </si>
  <si>
    <t>Kendall</t>
  </si>
  <si>
    <t>Rowan</t>
  </si>
  <si>
    <t>Anderson</t>
  </si>
  <si>
    <t>Thompson</t>
  </si>
  <si>
    <t>Rodriguez</t>
  </si>
  <si>
    <t>Wilson</t>
  </si>
  <si>
    <t>Moore</t>
  </si>
  <si>
    <t>Jackson</t>
  </si>
  <si>
    <t>Lewis</t>
  </si>
  <si>
    <t>index</t>
  </si>
  <si>
    <t>first</t>
  </si>
  <si>
    <t>last</t>
  </si>
  <si>
    <t>Accomplishment 1</t>
  </si>
  <si>
    <t>Accomplishment 4</t>
  </si>
  <si>
    <t>Accomplishment 3</t>
  </si>
  <si>
    <t>Accomplishment 2</t>
  </si>
  <si>
    <t>Key Accomplishments</t>
  </si>
  <si>
    <t>Parker</t>
  </si>
  <si>
    <t>Miller</t>
  </si>
  <si>
    <t>Lopez</t>
  </si>
  <si>
    <t>Gonzalez</t>
  </si>
  <si>
    <t>Drew</t>
  </si>
  <si>
    <t>Skyler</t>
  </si>
  <si>
    <t>Lane</t>
  </si>
  <si>
    <t>Thomas</t>
  </si>
  <si>
    <t>Phoenix</t>
  </si>
  <si>
    <t>Hernandez</t>
  </si>
  <si>
    <t>Indigo</t>
  </si>
  <si>
    <t>Martin</t>
  </si>
  <si>
    <t>Harley</t>
  </si>
  <si>
    <t>Clark</t>
  </si>
  <si>
    <t>Dallas</t>
  </si>
  <si>
    <t>Peyton</t>
  </si>
  <si>
    <t>Walker</t>
  </si>
  <si>
    <t>Remy</t>
  </si>
  <si>
    <t>Hall</t>
  </si>
  <si>
    <t>Kai</t>
  </si>
  <si>
    <t>Allen</t>
  </si>
  <si>
    <t>Brook</t>
  </si>
  <si>
    <t>Young</t>
  </si>
  <si>
    <t>Ari</t>
  </si>
  <si>
    <t>King</t>
  </si>
  <si>
    <t>Sloan</t>
  </si>
  <si>
    <t>Wright</t>
  </si>
  <si>
    <t>Devon</t>
  </si>
  <si>
    <t>Scott</t>
  </si>
  <si>
    <t>Aubrey</t>
  </si>
  <si>
    <t>Torres</t>
  </si>
  <si>
    <t>Rory</t>
  </si>
  <si>
    <t>Nguyen</t>
  </si>
  <si>
    <t>Hill</t>
  </si>
  <si>
    <t>Micah</t>
  </si>
  <si>
    <t>Flores</t>
  </si>
  <si>
    <t>Jaden</t>
  </si>
  <si>
    <t>Green</t>
  </si>
  <si>
    <t>Bailey</t>
  </si>
  <si>
    <t>Adams</t>
  </si>
  <si>
    <t>Nelson</t>
  </si>
  <si>
    <t>Shay</t>
  </si>
  <si>
    <t>Baker</t>
  </si>
  <si>
    <t>Robin</t>
  </si>
  <si>
    <t>Mitchell</t>
  </si>
  <si>
    <t>Storm</t>
  </si>
  <si>
    <t>Perez</t>
  </si>
  <si>
    <t>Ocean</t>
  </si>
  <si>
    <t>Roberts</t>
  </si>
  <si>
    <t>Arrow</t>
  </si>
  <si>
    <t>Turner</t>
  </si>
  <si>
    <t>Aspen</t>
  </si>
  <si>
    <t>Phillips</t>
  </si>
  <si>
    <t>Emerson</t>
  </si>
  <si>
    <t>Campbell</t>
  </si>
  <si>
    <t>Nova</t>
  </si>
  <si>
    <t>Evans</t>
  </si>
  <si>
    <t>Vale</t>
  </si>
  <si>
    <t>Edwards</t>
  </si>
  <si>
    <t>Gray</t>
  </si>
  <si>
    <t>Collins</t>
  </si>
  <si>
    <t>Wren</t>
  </si>
  <si>
    <t>Stewart</t>
  </si>
  <si>
    <t>Sanchez</t>
  </si>
  <si>
    <t>Briar</t>
  </si>
  <si>
    <t>Morris</t>
  </si>
  <si>
    <t>Ellis</t>
  </si>
  <si>
    <t>Rogers</t>
  </si>
  <si>
    <t>Jules</t>
  </si>
  <si>
    <t>Reed</t>
  </si>
  <si>
    <t>Marlowe</t>
  </si>
  <si>
    <t>Cook</t>
  </si>
  <si>
    <t>Darian</t>
  </si>
  <si>
    <t>Sasha</t>
  </si>
  <si>
    <t>Bell</t>
  </si>
  <si>
    <t>Tatum</t>
  </si>
  <si>
    <t>Murphy</t>
  </si>
  <si>
    <t>Cooper</t>
  </si>
  <si>
    <t>Oakley</t>
  </si>
  <si>
    <t>Richardson</t>
  </si>
  <si>
    <t>Justice</t>
  </si>
  <si>
    <t>Cox</t>
  </si>
  <si>
    <t>Howard</t>
  </si>
  <si>
    <t>Bellamy</t>
  </si>
  <si>
    <t>Ward</t>
  </si>
  <si>
    <t>Ren</t>
  </si>
  <si>
    <t>Scout</t>
  </si>
  <si>
    <t>Peterson</t>
  </si>
  <si>
    <t>Winter</t>
  </si>
  <si>
    <t>Ramirez</t>
  </si>
  <si>
    <t>Payton</t>
  </si>
  <si>
    <t>James</t>
  </si>
  <si>
    <t>Jude</t>
  </si>
  <si>
    <t>Watson</t>
  </si>
  <si>
    <t>Lux</t>
  </si>
  <si>
    <t>Brooks</t>
  </si>
  <si>
    <t>Kelly</t>
  </si>
  <si>
    <t>Camden</t>
  </si>
  <si>
    <t>Sanders</t>
  </si>
  <si>
    <t>Ira</t>
  </si>
  <si>
    <t>Price</t>
  </si>
  <si>
    <t>Palmer</t>
  </si>
  <si>
    <t>Bennett</t>
  </si>
  <si>
    <t>Remi</t>
  </si>
  <si>
    <t>Wood</t>
  </si>
  <si>
    <t>Frankie</t>
  </si>
  <si>
    <t>Barnes</t>
  </si>
  <si>
    <t>Onyx</t>
  </si>
  <si>
    <t>Ross</t>
  </si>
  <si>
    <t>Soren</t>
  </si>
  <si>
    <t>Henderson</t>
  </si>
  <si>
    <t>Merit</t>
  </si>
  <si>
    <t>Coleman</t>
  </si>
  <si>
    <t>Asa</t>
  </si>
  <si>
    <t>Jenkins</t>
  </si>
  <si>
    <t>Cypress</t>
  </si>
  <si>
    <t>Perry</t>
  </si>
  <si>
    <t>Haven</t>
  </si>
  <si>
    <t>Powell</t>
  </si>
  <si>
    <t>Journey</t>
  </si>
  <si>
    <t>Long</t>
  </si>
  <si>
    <t>North</t>
  </si>
  <si>
    <t>Patterson</t>
  </si>
  <si>
    <t>Reign</t>
  </si>
  <si>
    <t>Hughes</t>
  </si>
  <si>
    <t>Seven</t>
  </si>
  <si>
    <t>Story</t>
  </si>
  <si>
    <t>Washington</t>
  </si>
  <si>
    <t>Timber</t>
  </si>
  <si>
    <t>Butler</t>
  </si>
  <si>
    <t>Blue</t>
  </si>
  <si>
    <t>Simmons</t>
  </si>
  <si>
    <t>Echo</t>
  </si>
  <si>
    <t>Foster</t>
  </si>
  <si>
    <t>Harbor</t>
  </si>
  <si>
    <t>Gonzales</t>
  </si>
  <si>
    <t>Bryant</t>
  </si>
  <si>
    <t>Novel</t>
  </si>
  <si>
    <t>Alexander</t>
  </si>
  <si>
    <t>Poet</t>
  </si>
  <si>
    <t>Russell</t>
  </si>
  <si>
    <t>Quest</t>
  </si>
  <si>
    <t>Griffin</t>
  </si>
  <si>
    <t>Rain</t>
  </si>
  <si>
    <t>Diaz</t>
  </si>
  <si>
    <t>Zion</t>
  </si>
  <si>
    <t>Hayes</t>
  </si>
  <si>
    <t>Baylor</t>
  </si>
  <si>
    <t>Myers</t>
  </si>
  <si>
    <t>Lark</t>
  </si>
  <si>
    <t>Ford</t>
  </si>
  <si>
    <t>Rebel</t>
  </si>
  <si>
    <t>Hamilton</t>
  </si>
  <si>
    <t>Graham</t>
  </si>
  <si>
    <t>Stone</t>
  </si>
  <si>
    <t>Sullivan</t>
  </si>
  <si>
    <t>Wallace</t>
  </si>
  <si>
    <t>West</t>
  </si>
  <si>
    <t>Woods</t>
  </si>
  <si>
    <t>Zephyr</t>
  </si>
  <si>
    <t>Cole</t>
  </si>
  <si>
    <t>Bryce</t>
  </si>
  <si>
    <t>Owens</t>
  </si>
  <si>
    <t>Reynolds</t>
  </si>
  <si>
    <t>Fisher</t>
  </si>
  <si>
    <t>Harrison</t>
  </si>
  <si>
    <t>Gibson</t>
  </si>
  <si>
    <t>McDonald</t>
  </si>
  <si>
    <t>Cruz</t>
  </si>
  <si>
    <t>Marshall</t>
  </si>
  <si>
    <t>Ortiz</t>
  </si>
  <si>
    <t>Gomez</t>
  </si>
  <si>
    <t>Murray</t>
  </si>
  <si>
    <t>Freeman</t>
  </si>
  <si>
    <t>Wells</t>
  </si>
  <si>
    <t>Webb</t>
  </si>
  <si>
    <t>Simpson</t>
  </si>
  <si>
    <t>Stevens</t>
  </si>
  <si>
    <t>Tucker</t>
  </si>
  <si>
    <t>Porter</t>
  </si>
  <si>
    <t>Hunter</t>
  </si>
  <si>
    <t>Hicks</t>
  </si>
  <si>
    <t>Crawford</t>
  </si>
  <si>
    <t>Henry</t>
  </si>
  <si>
    <t>Boyd</t>
  </si>
  <si>
    <t>Mason</t>
  </si>
  <si>
    <t>Morales</t>
  </si>
  <si>
    <t>Practices &amp; Priorities</t>
  </si>
  <si>
    <t>Org Description</t>
  </si>
  <si>
    <t>Excel</t>
  </si>
  <si>
    <t>Accomplishments (&lt;=4)</t>
  </si>
  <si>
    <t>Paul Galjan</t>
  </si>
  <si>
    <t>Product Manager</t>
  </si>
  <si>
    <t>Dell Technologies</t>
  </si>
  <si>
    <t>Hopkinton, MA</t>
  </si>
  <si>
    <t>Infrastructure Automation</t>
  </si>
  <si>
    <t>Oct 2023</t>
  </si>
  <si>
    <t>current</t>
  </si>
  <si>
    <t>Power Platform</t>
  </si>
  <si>
    <t>Markdown</t>
  </si>
  <si>
    <t>Drawio</t>
  </si>
  <si>
    <t>VSCode</t>
  </si>
  <si>
    <t>Confluence</t>
  </si>
  <si>
    <t>PowerPoint</t>
  </si>
  <si>
    <t>Jira</t>
  </si>
  <si>
    <t>Jira Align</t>
  </si>
  <si>
    <t>Miro</t>
  </si>
  <si>
    <t>CoPilot</t>
  </si>
  <si>
    <t>Analyst</t>
  </si>
  <si>
    <t>Data Collection</t>
  </si>
  <si>
    <t>Data Classification</t>
  </si>
  <si>
    <t>Analysis</t>
  </si>
  <si>
    <t>Communication</t>
  </si>
  <si>
    <t>Impact Assessment</t>
  </si>
  <si>
    <t>Product Planning</t>
  </si>
  <si>
    <t>Requirements Development</t>
  </si>
  <si>
    <t>Development Execution</t>
  </si>
  <si>
    <t>Core Team Support</t>
  </si>
  <si>
    <t>Data Visualization</t>
  </si>
  <si>
    <t>API Defintiion</t>
  </si>
  <si>
    <t>Data Modeling</t>
  </si>
  <si>
    <t>Market Analysis</t>
  </si>
  <si>
    <t>Extract/Transform/Load (ETL)</t>
  </si>
  <si>
    <t>System Architecture</t>
  </si>
  <si>
    <t>Agile Development</t>
  </si>
  <si>
    <t>Value Pricing</t>
  </si>
  <si>
    <t>Hypothesis Testing</t>
  </si>
  <si>
    <t>Project Management</t>
  </si>
  <si>
    <t>Timeboxed Planning</t>
  </si>
  <si>
    <t>Visual Storytelling</t>
  </si>
  <si>
    <t>Quantification</t>
  </si>
  <si>
    <t>Frameworks</t>
  </si>
  <si>
    <t>Structured Analysis</t>
  </si>
  <si>
    <t>Work Breakdown</t>
  </si>
  <si>
    <t>Purpose</t>
  </si>
  <si>
    <t>Efficiency</t>
  </si>
  <si>
    <t>Process</t>
  </si>
  <si>
    <t>Clarity</t>
  </si>
  <si>
    <t>Consistency</t>
  </si>
  <si>
    <t>Community</t>
  </si>
  <si>
    <t>Copy/Paste below as picture</t>
  </si>
  <si>
    <t>Streamlined UI/API definition handoff with UI Mockup-as-code initiative</t>
  </si>
  <si>
    <t xml:space="preserve">Standardized Dell ISG 2-year software lifecycle policy, replacing fragmented product cycles with predictable enterprise planning.  </t>
  </si>
  <si>
    <t>Created constent data model for representation of Dell and 3rd party infrastructure assets in Dell Automation Platform</t>
  </si>
  <si>
    <t>Created consistent project management consumption method to naviagte the transitionbetween project management platforms and approaches</t>
  </si>
  <si>
    <t>Dell Automation Platform - specializing in TOSCA-based declarative automation solutions with hybrid imperative capabilities, serving enterprise clients through agile development methodologies and related optimization.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</si>
</sst>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E1D5E7"/>
        <bgColor indexed="64"/>
      </patternFill>
    </fill>
    <fill>
      <patternFill patternType="solid">
        <fgColor rgb="FFD5E8D4"/>
        <bgColor indexed="64"/>
      </patternFill>
    </fill>
    <fill>
      <patternFill patternType="solid">
        <fgColor rgb="FFDAE8F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indexed="64"/>
      </top>
      <bottom/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7" borderId="0" applyNumberFormat="0" applyBorder="0" applyAlignment="0" applyProtection="0"/>
  </cellStyleXfs>
  <cellXfs count="45">
    <xf numFmtId="0" fontId="0" fillId="0" borderId="0" xfId="0"/>
    <xf numFmtId="0" fontId="1" fillId="3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right"/>
    </xf>
    <xf numFmtId="0" fontId="1" fillId="4" borderId="0" xfId="0" applyFont="1" applyFill="1" applyAlignment="1">
      <alignment horizontal="center"/>
    </xf>
    <xf numFmtId="0" fontId="1" fillId="2" borderId="0" xfId="0" applyFont="1" applyFill="1" applyAlignment="1">
      <alignment horizontal="right"/>
    </xf>
    <xf numFmtId="0" fontId="0" fillId="0" borderId="0" xfId="0" applyAlignment="1">
      <alignment horizontal="left" indent="1"/>
    </xf>
    <xf numFmtId="0" fontId="0" fillId="0" borderId="6" xfId="0" applyBorder="1" applyAlignment="1">
      <alignment horizontal="left" indent="1"/>
    </xf>
    <xf numFmtId="0" fontId="1" fillId="5" borderId="0" xfId="0" applyFont="1" applyFill="1" applyAlignment="1">
      <alignment horizontal="right"/>
    </xf>
    <xf numFmtId="0" fontId="1" fillId="3" borderId="1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0" fillId="6" borderId="4" xfId="0" applyFill="1" applyBorder="1"/>
    <xf numFmtId="0" fontId="0" fillId="6" borderId="5" xfId="0" applyFill="1" applyBorder="1"/>
    <xf numFmtId="0" fontId="2" fillId="6" borderId="4" xfId="0" applyFont="1" applyFill="1" applyBorder="1" applyAlignment="1">
      <alignment horizontal="center"/>
    </xf>
    <xf numFmtId="0" fontId="0" fillId="6" borderId="2" xfId="0" applyFill="1" applyBorder="1"/>
    <xf numFmtId="0" fontId="0" fillId="3" borderId="0" xfId="0" applyFill="1"/>
    <xf numFmtId="0" fontId="0" fillId="2" borderId="0" xfId="0" applyFill="1"/>
    <xf numFmtId="0" fontId="0" fillId="4" borderId="0" xfId="0" applyFill="1"/>
    <xf numFmtId="0" fontId="0" fillId="0" borderId="0" xfId="0" applyAlignment="1" applyProtection="1">
      <alignment horizontal="left" indent="1"/>
      <protection locked="0"/>
    </xf>
    <xf numFmtId="49" fontId="0" fillId="0" borderId="0" xfId="0" applyNumberFormat="1" applyAlignment="1" applyProtection="1">
      <alignment horizontal="left" indent="1"/>
      <protection locked="0"/>
    </xf>
    <xf numFmtId="0" fontId="0" fillId="0" borderId="0" xfId="0" applyProtection="1">
      <protection locked="0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/>
    </xf>
    <xf numFmtId="0" fontId="1" fillId="4" borderId="0" xfId="0" applyFont="1" applyFill="1"/>
    <xf numFmtId="0" fontId="0" fillId="0" borderId="0" xfId="0" applyAlignment="1" applyProtection="1">
      <alignment vertical="top" wrapText="1"/>
      <protection locked="0"/>
    </xf>
    <xf numFmtId="0" fontId="1" fillId="4" borderId="0" xfId="0" applyFont="1" applyFill="1" applyAlignment="1">
      <alignment horizontal="right"/>
    </xf>
    <xf numFmtId="0" fontId="0" fillId="0" borderId="6" xfId="0" applyBorder="1"/>
    <xf numFmtId="0" fontId="0" fillId="6" borderId="0" xfId="0" applyFill="1"/>
    <xf numFmtId="0" fontId="0" fillId="0" borderId="4" xfId="0" applyBorder="1"/>
    <xf numFmtId="0" fontId="0" fillId="6" borderId="10" xfId="0" applyFill="1" applyBorder="1"/>
    <xf numFmtId="0" fontId="0" fillId="6" borderId="3" xfId="0" applyFill="1" applyBorder="1"/>
    <xf numFmtId="0" fontId="0" fillId="6" borderId="11" xfId="0" applyFill="1" applyBorder="1"/>
    <xf numFmtId="0" fontId="0" fillId="6" borderId="12" xfId="0" applyFill="1" applyBorder="1"/>
    <xf numFmtId="0" fontId="1" fillId="4" borderId="0" xfId="0" applyFont="1" applyFill="1" applyAlignment="1">
      <alignment horizontal="centerContinuous"/>
    </xf>
    <xf numFmtId="0" fontId="1" fillId="4" borderId="0" xfId="0" applyFont="1" applyFill="1" applyAlignment="1">
      <alignment horizontal="right" indent="1"/>
    </xf>
    <xf numFmtId="0" fontId="1" fillId="4" borderId="9" xfId="0" applyFont="1" applyFill="1" applyBorder="1" applyAlignment="1">
      <alignment horizontal="center"/>
    </xf>
    <xf numFmtId="0" fontId="1" fillId="6" borderId="16" xfId="0" applyFont="1" applyFill="1" applyBorder="1" applyAlignment="1">
      <alignment shrinkToFit="1"/>
    </xf>
    <xf numFmtId="0" fontId="2" fillId="6" borderId="17" xfId="0" applyFont="1" applyFill="1" applyBorder="1" applyAlignment="1">
      <alignment horizontal="centerContinuous"/>
    </xf>
    <xf numFmtId="0" fontId="0" fillId="6" borderId="17" xfId="0" applyFill="1" applyBorder="1" applyAlignment="1">
      <alignment horizontal="centerContinuous"/>
    </xf>
    <xf numFmtId="0" fontId="0" fillId="6" borderId="18" xfId="0" applyFill="1" applyBorder="1" applyAlignment="1">
      <alignment horizontal="right"/>
    </xf>
    <xf numFmtId="0" fontId="2" fillId="6" borderId="14" xfId="0" applyFont="1" applyFill="1" applyBorder="1" applyAlignment="1">
      <alignment horizontal="left" vertical="top" wrapText="1"/>
    </xf>
    <xf numFmtId="0" fontId="2" fillId="6" borderId="13" xfId="0" applyFont="1" applyFill="1" applyBorder="1" applyAlignment="1">
      <alignment horizontal="left" vertical="top" wrapText="1"/>
    </xf>
    <xf numFmtId="0" fontId="2" fillId="6" borderId="15" xfId="0" applyFont="1" applyFill="1" applyBorder="1" applyAlignment="1">
      <alignment horizontal="left" vertical="top" wrapText="1"/>
    </xf>
    <xf numFmtId="0" fontId="3" fillId="7" borderId="0" xfId="1"/>
  </cellXfs>
  <cellStyles count="2">
    <cellStyle name="Accent1" xfId="1" builtinId="29"/>
    <cellStyle name="Normal" xfId="0" builtinId="0"/>
  </cellStyles>
  <dxfs count="40">
    <dxf>
      <font>
        <b/>
        <i val="0"/>
      </font>
      <fill>
        <patternFill>
          <bgColor rgb="FFDAE8FC"/>
        </patternFill>
      </fill>
    </dxf>
    <dxf>
      <font>
        <b/>
        <i val="0"/>
      </font>
    </dxf>
    <dxf>
      <font>
        <b/>
        <i val="0"/>
      </font>
      <fill>
        <patternFill>
          <bgColor rgb="FFDAE8FC"/>
        </patternFill>
      </fill>
    </dxf>
    <dxf>
      <border>
        <right style="thin">
          <color auto="1"/>
        </right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font>
        <b/>
        <i val="0"/>
      </font>
    </dxf>
    <dxf>
      <font>
        <b/>
        <i val="0"/>
      </font>
    </dxf>
    <dxf>
      <border>
        <left style="thin">
          <color auto="1"/>
        </left>
        <vertical/>
        <horizontal/>
      </border>
    </dxf>
    <dxf>
      <font>
        <color theme="0"/>
      </font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b/>
        <i val="0"/>
      </font>
      <fill>
        <patternFill>
          <bgColor rgb="FFDAE8FC"/>
        </patternFill>
      </fill>
    </dxf>
    <dxf>
      <font>
        <b/>
        <i val="0"/>
      </font>
    </dxf>
    <dxf>
      <font>
        <b/>
        <i val="0"/>
      </font>
      <fill>
        <patternFill>
          <bgColor rgb="FFDAE8FC"/>
        </patternFill>
      </fill>
    </dxf>
    <dxf>
      <border>
        <right style="thin">
          <color auto="1"/>
        </right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font>
        <b/>
        <i val="0"/>
      </font>
    </dxf>
    <dxf>
      <font>
        <b/>
        <i val="0"/>
      </font>
    </dxf>
    <dxf>
      <border>
        <left style="thin">
          <color auto="1"/>
        </left>
        <vertical/>
        <horizontal/>
      </border>
    </dxf>
    <dxf>
      <font>
        <color theme="0"/>
      </font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b/>
        <i val="0"/>
      </font>
      <fill>
        <patternFill>
          <bgColor rgb="FFDAE8FC"/>
        </patternFill>
      </fill>
    </dxf>
    <dxf>
      <font>
        <b/>
        <i val="0"/>
      </font>
    </dxf>
    <dxf>
      <font>
        <b/>
        <i val="0"/>
      </font>
      <fill>
        <patternFill>
          <bgColor rgb="FFDAE8FC"/>
        </patternFill>
      </fill>
    </dxf>
    <dxf>
      <border>
        <right style="thin">
          <color auto="1"/>
        </right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font>
        <b/>
        <i val="0"/>
      </font>
    </dxf>
    <dxf>
      <font>
        <b/>
        <i val="0"/>
      </font>
    </dxf>
    <dxf>
      <border>
        <left style="thin">
          <color auto="1"/>
        </left>
        <vertical/>
        <horizontal/>
      </border>
    </dxf>
    <dxf>
      <font>
        <color theme="0"/>
      </font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numFmt numFmtId="0" formatCode="General"/>
    </dxf>
  </dxfs>
  <tableStyles count="0" defaultTableStyle="TableStyleMedium2" defaultPivotStyle="PivotStyleLight16"/>
  <colors>
    <mruColors>
      <color rgb="FFDAE8FC"/>
      <color rgb="FFD5E8D4"/>
      <color rgb="FFE1D5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22411</xdr:colOff>
          <xdr:row>28</xdr:row>
          <xdr:rowOff>39222</xdr:rowOff>
        </xdr:from>
        <xdr:to>
          <xdr:col>13</xdr:col>
          <xdr:colOff>773206</xdr:colOff>
          <xdr:row>52</xdr:row>
          <xdr:rowOff>61634</xdr:rowOff>
        </xdr:to>
        <xdr:pic>
          <xdr:nvPicPr>
            <xdr:cNvPr id="6" name="Picture 5">
              <a:extLst>
                <a:ext uri="{FF2B5EF4-FFF2-40B4-BE49-F238E27FC236}">
                  <a16:creationId xmlns:a16="http://schemas.microsoft.com/office/drawing/2014/main" id="{B29D5E16-BD03-D863-814D-150D7B92056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AD$147:$AI$169" spid="_x0000_s1097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1473573" y="5205134"/>
              <a:ext cx="11939868" cy="4325471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EDACFEC-E357-4205-A303-E06B7819AD81}" name="names" displayName="names" ref="A1:C135" totalsRowShown="0">
  <autoFilter ref="A1:C135" xr:uid="{FEDACFEC-E357-4205-A303-E06B7819AD81}"/>
  <tableColumns count="3">
    <tableColumn id="1" xr3:uid="{B68AA56A-4332-4D26-AA2C-F1A53AF8F246}" name="index" dataDxfId="39">
      <calculatedColumnFormula>ROW()-1</calculatedColumnFormula>
    </tableColumn>
    <tableColumn id="2" xr3:uid="{2FBF4AE8-10BE-49DC-A08D-B377AD3CB245}" name="first"/>
    <tableColumn id="3" xr3:uid="{E9C8B136-54A2-474F-A6BF-CBF27C756B26}" name="last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48163-AFAC-4B5E-B6D7-A630EDC47AB4}">
  <dimension ref="A2:AI168"/>
  <sheetViews>
    <sheetView showGridLines="0" tabSelected="1" topLeftCell="A18" zoomScale="85" zoomScaleNormal="85" workbookViewId="0">
      <selection activeCell="B19" sqref="B19"/>
    </sheetView>
  </sheetViews>
  <sheetFormatPr defaultRowHeight="14.25" x14ac:dyDescent="0.45"/>
  <cols>
    <col min="1" max="1" width="20.33203125" bestFit="1" customWidth="1"/>
    <col min="2" max="2" width="35.265625" customWidth="1"/>
    <col min="3" max="3" width="3.46484375" customWidth="1"/>
    <col min="5" max="5" width="17.33203125" bestFit="1" customWidth="1"/>
    <col min="6" max="6" width="3.86328125" customWidth="1"/>
    <col min="7" max="7" width="25.86328125" customWidth="1"/>
    <col min="8" max="8" width="3.46484375" customWidth="1"/>
    <col min="9" max="9" width="24.6640625" customWidth="1"/>
    <col min="10" max="10" width="3.86328125" customWidth="1"/>
    <col min="11" max="11" width="9.6640625" hidden="1" customWidth="1"/>
    <col min="12" max="12" width="25.86328125" customWidth="1"/>
    <col min="13" max="13" width="3.86328125" customWidth="1"/>
    <col min="14" max="14" width="25.86328125" customWidth="1"/>
    <col min="15" max="15" width="3.86328125" customWidth="1"/>
    <col min="16" max="16" width="25.86328125" customWidth="1"/>
    <col min="17" max="17" width="3.86328125" customWidth="1"/>
    <col min="18" max="18" width="23.46484375" customWidth="1"/>
    <col min="28" max="28" width="9.06640625" style="23"/>
    <col min="30" max="33" width="37.9296875" customWidth="1"/>
    <col min="34" max="34" width="1.86328125" customWidth="1"/>
    <col min="35" max="35" width="13.3984375" customWidth="1"/>
    <col min="36" max="36" width="24.3984375" bestFit="1" customWidth="1"/>
  </cols>
  <sheetData>
    <row r="2" spans="1:16" ht="25.5" customHeight="1" x14ac:dyDescent="0.45"/>
    <row r="3" spans="1:16" x14ac:dyDescent="0.45">
      <c r="A3" s="8" t="s">
        <v>15</v>
      </c>
      <c r="B3" s="6" t="s">
        <v>254</v>
      </c>
      <c r="D3" s="2" t="s">
        <v>8</v>
      </c>
      <c r="E3" s="2" t="s">
        <v>0</v>
      </c>
      <c r="G3" s="2" t="s">
        <v>4</v>
      </c>
      <c r="I3" s="1" t="s">
        <v>11</v>
      </c>
      <c r="L3" s="4" t="s">
        <v>5</v>
      </c>
      <c r="N3" s="4" t="s">
        <v>6</v>
      </c>
      <c r="P3" s="4" t="s">
        <v>7</v>
      </c>
    </row>
    <row r="4" spans="1:16" ht="14.25" customHeight="1" x14ac:dyDescent="0.45">
      <c r="A4" s="5" t="s">
        <v>1</v>
      </c>
      <c r="B4" s="6" t="s">
        <v>271</v>
      </c>
      <c r="D4" s="22" t="b">
        <v>1</v>
      </c>
      <c r="E4" s="20" t="s">
        <v>252</v>
      </c>
      <c r="F4" s="6"/>
      <c r="G4" s="20" t="s">
        <v>272</v>
      </c>
      <c r="H4" s="6"/>
      <c r="I4" s="20" t="s">
        <v>277</v>
      </c>
      <c r="J4" s="6"/>
      <c r="K4" s="6" t="b">
        <f>IF(L4="","",ISEVEN(ROW()))</f>
        <v>1</v>
      </c>
      <c r="L4" s="20" t="s">
        <v>281</v>
      </c>
      <c r="M4" s="6"/>
      <c r="N4" s="20" t="s">
        <v>291</v>
      </c>
      <c r="O4" s="6"/>
      <c r="P4" s="20" t="s">
        <v>297</v>
      </c>
    </row>
    <row r="5" spans="1:16" x14ac:dyDescent="0.45">
      <c r="A5" s="8" t="s">
        <v>9</v>
      </c>
      <c r="B5" s="20" t="s">
        <v>256</v>
      </c>
      <c r="D5" s="22" t="b">
        <v>1</v>
      </c>
      <c r="E5" s="20" t="s">
        <v>261</v>
      </c>
      <c r="F5" s="6"/>
      <c r="G5" s="20" t="s">
        <v>273</v>
      </c>
      <c r="H5" s="6"/>
      <c r="I5" s="20" t="s">
        <v>278</v>
      </c>
      <c r="J5" s="6"/>
      <c r="K5" s="6" t="b">
        <f t="shared" ref="K5:K18" si="0">IF(L5="","",ISEVEN(ROW()))</f>
        <v>0</v>
      </c>
      <c r="L5" s="20" t="s">
        <v>282</v>
      </c>
      <c r="M5" s="6"/>
      <c r="N5" s="20" t="s">
        <v>292</v>
      </c>
      <c r="O5" s="6"/>
      <c r="P5" s="20" t="s">
        <v>298</v>
      </c>
    </row>
    <row r="6" spans="1:16" x14ac:dyDescent="0.45">
      <c r="A6" s="8" t="s">
        <v>10</v>
      </c>
      <c r="B6" s="20" t="s">
        <v>257</v>
      </c>
      <c r="D6" s="22" t="b">
        <v>1</v>
      </c>
      <c r="E6" s="20" t="s">
        <v>262</v>
      </c>
      <c r="F6" s="6"/>
      <c r="G6" s="20" t="s">
        <v>274</v>
      </c>
      <c r="H6" s="6"/>
      <c r="I6" s="20" t="s">
        <v>279</v>
      </c>
      <c r="J6" s="6"/>
      <c r="K6" s="6" t="b">
        <f t="shared" si="0"/>
        <v>1</v>
      </c>
      <c r="L6" s="20" t="s">
        <v>283</v>
      </c>
      <c r="M6" s="6"/>
      <c r="N6" s="20" t="s">
        <v>293</v>
      </c>
      <c r="O6" s="6"/>
      <c r="P6" s="20" t="s">
        <v>299</v>
      </c>
    </row>
    <row r="7" spans="1:16" ht="14.25" customHeight="1" x14ac:dyDescent="0.45">
      <c r="A7" s="8" t="s">
        <v>13</v>
      </c>
      <c r="B7" s="21" t="s">
        <v>259</v>
      </c>
      <c r="D7" s="22" t="b">
        <v>1</v>
      </c>
      <c r="E7" s="20" t="s">
        <v>263</v>
      </c>
      <c r="F7" s="6"/>
      <c r="G7" s="20" t="s">
        <v>275</v>
      </c>
      <c r="H7" s="6"/>
      <c r="I7" s="20" t="s">
        <v>280</v>
      </c>
      <c r="J7" s="6"/>
      <c r="K7" s="6" t="b">
        <f t="shared" si="0"/>
        <v>0</v>
      </c>
      <c r="L7" s="20" t="s">
        <v>284</v>
      </c>
      <c r="M7" s="6"/>
      <c r="N7" s="20" t="s">
        <v>294</v>
      </c>
      <c r="O7" s="6"/>
      <c r="P7" s="20" t="s">
        <v>300</v>
      </c>
    </row>
    <row r="8" spans="1:16" x14ac:dyDescent="0.45">
      <c r="A8" s="8" t="s">
        <v>14</v>
      </c>
      <c r="B8" s="21" t="s">
        <v>260</v>
      </c>
      <c r="D8" s="22" t="b">
        <v>1</v>
      </c>
      <c r="E8" s="20" t="s">
        <v>264</v>
      </c>
      <c r="F8" s="6"/>
      <c r="G8" s="20" t="s">
        <v>276</v>
      </c>
      <c r="H8" s="6"/>
      <c r="I8" s="20"/>
      <c r="J8" s="6"/>
      <c r="K8" s="6" t="b">
        <f t="shared" si="0"/>
        <v>1</v>
      </c>
      <c r="L8" s="20" t="s">
        <v>285</v>
      </c>
      <c r="M8" s="6"/>
      <c r="N8" s="20" t="s">
        <v>295</v>
      </c>
      <c r="O8" s="6"/>
      <c r="P8" s="20" t="s">
        <v>301</v>
      </c>
    </row>
    <row r="9" spans="1:16" x14ac:dyDescent="0.45">
      <c r="A9" s="3" t="s">
        <v>2</v>
      </c>
      <c r="B9" s="20" t="s">
        <v>255</v>
      </c>
      <c r="D9" s="22" t="b">
        <v>0</v>
      </c>
      <c r="E9" s="20" t="s">
        <v>265</v>
      </c>
      <c r="F9" s="6"/>
      <c r="G9" s="20"/>
      <c r="H9" s="6"/>
      <c r="I9" s="7"/>
      <c r="J9" s="6"/>
      <c r="K9" s="6" t="b">
        <f t="shared" si="0"/>
        <v>0</v>
      </c>
      <c r="L9" s="20" t="s">
        <v>286</v>
      </c>
      <c r="M9" s="6"/>
      <c r="N9" s="20" t="s">
        <v>296</v>
      </c>
      <c r="O9" s="6"/>
      <c r="P9" s="20" t="s">
        <v>302</v>
      </c>
    </row>
    <row r="10" spans="1:16" x14ac:dyDescent="0.45">
      <c r="A10" s="3" t="s">
        <v>3</v>
      </c>
      <c r="B10" s="20" t="s">
        <v>258</v>
      </c>
      <c r="D10" s="22" t="b">
        <v>0</v>
      </c>
      <c r="E10" s="20" t="s">
        <v>266</v>
      </c>
      <c r="F10" s="6"/>
      <c r="G10" s="7"/>
      <c r="H10" s="6"/>
      <c r="I10" s="6"/>
      <c r="J10" s="6"/>
      <c r="K10" s="6" t="b">
        <f t="shared" si="0"/>
        <v>1</v>
      </c>
      <c r="L10" s="20" t="s">
        <v>287</v>
      </c>
      <c r="M10" s="6"/>
      <c r="N10" s="20"/>
      <c r="O10" s="6"/>
      <c r="P10" s="20"/>
    </row>
    <row r="11" spans="1:16" x14ac:dyDescent="0.45">
      <c r="B11" s="25"/>
      <c r="D11" s="22" t="b">
        <v>0</v>
      </c>
      <c r="E11" s="20" t="s">
        <v>267</v>
      </c>
      <c r="F11" s="6"/>
      <c r="G11" s="6"/>
      <c r="H11" s="6"/>
      <c r="I11" s="6"/>
      <c r="J11" s="6"/>
      <c r="K11" s="6" t="b">
        <f t="shared" si="0"/>
        <v>0</v>
      </c>
      <c r="L11" s="20" t="s">
        <v>284</v>
      </c>
      <c r="M11" s="6"/>
      <c r="N11" s="20"/>
      <c r="O11" s="6"/>
      <c r="P11" s="20"/>
    </row>
    <row r="12" spans="1:16" x14ac:dyDescent="0.45">
      <c r="B12" s="25"/>
      <c r="D12" s="22" t="b">
        <v>0</v>
      </c>
      <c r="E12" s="20" t="s">
        <v>268</v>
      </c>
      <c r="F12" s="6"/>
      <c r="G12" s="6"/>
      <c r="H12" s="6"/>
      <c r="I12" s="6"/>
      <c r="J12" s="6"/>
      <c r="K12" s="6" t="b">
        <f t="shared" si="0"/>
        <v>1</v>
      </c>
      <c r="L12" s="20" t="s">
        <v>288</v>
      </c>
      <c r="M12" s="6"/>
      <c r="N12" s="7"/>
      <c r="O12" s="6"/>
      <c r="P12" s="7"/>
    </row>
    <row r="13" spans="1:16" x14ac:dyDescent="0.45">
      <c r="B13" s="25"/>
      <c r="D13" s="22" t="b">
        <v>0</v>
      </c>
      <c r="E13" s="20" t="s">
        <v>269</v>
      </c>
      <c r="F13" s="6"/>
      <c r="G13" s="6"/>
      <c r="H13" s="6"/>
      <c r="I13" s="6"/>
      <c r="J13" s="6"/>
      <c r="K13" s="6" t="b">
        <f t="shared" si="0"/>
        <v>0</v>
      </c>
      <c r="L13" s="20" t="s">
        <v>289</v>
      </c>
      <c r="M13" s="6"/>
      <c r="N13" s="6"/>
      <c r="O13" s="6"/>
      <c r="P13" s="6"/>
    </row>
    <row r="14" spans="1:16" x14ac:dyDescent="0.45">
      <c r="B14" s="25"/>
      <c r="D14" s="22" t="b">
        <v>0</v>
      </c>
      <c r="E14" s="20" t="s">
        <v>270</v>
      </c>
      <c r="F14" s="6"/>
      <c r="G14" s="6"/>
      <c r="H14" s="6"/>
      <c r="I14" s="6"/>
      <c r="J14" s="6"/>
      <c r="K14" s="6" t="b">
        <f t="shared" si="0"/>
        <v>1</v>
      </c>
      <c r="L14" s="20" t="s">
        <v>290</v>
      </c>
      <c r="M14" s="6"/>
      <c r="N14" s="6"/>
      <c r="O14" s="6"/>
      <c r="P14" s="6"/>
    </row>
    <row r="15" spans="1:16" x14ac:dyDescent="0.45">
      <c r="D15" s="22" t="b">
        <v>0</v>
      </c>
      <c r="E15" s="20"/>
      <c r="F15" s="6"/>
      <c r="G15" s="6"/>
      <c r="H15" s="6"/>
      <c r="I15" s="6"/>
      <c r="J15" s="6"/>
      <c r="K15" s="6" t="str">
        <f t="shared" si="0"/>
        <v/>
      </c>
      <c r="L15" s="20"/>
      <c r="M15" s="6"/>
      <c r="N15" s="6"/>
      <c r="O15" s="6"/>
      <c r="P15" s="6"/>
    </row>
    <row r="16" spans="1:16" x14ac:dyDescent="0.45">
      <c r="D16" s="22" t="b">
        <v>0</v>
      </c>
      <c r="E16" s="20"/>
      <c r="F16" s="6"/>
      <c r="G16" s="6"/>
      <c r="H16" s="6"/>
      <c r="I16" s="6"/>
      <c r="J16" s="6"/>
      <c r="K16" s="6" t="str">
        <f t="shared" si="0"/>
        <v/>
      </c>
      <c r="L16" s="20"/>
      <c r="M16" s="6"/>
      <c r="O16" s="6"/>
      <c r="P16" s="6"/>
    </row>
    <row r="17" spans="1:16" x14ac:dyDescent="0.45">
      <c r="E17" s="20"/>
      <c r="F17" s="6"/>
      <c r="G17" s="6"/>
      <c r="H17" s="6"/>
      <c r="I17" s="6"/>
      <c r="J17" s="6"/>
      <c r="K17" s="6" t="str">
        <f t="shared" si="0"/>
        <v/>
      </c>
      <c r="L17" s="27"/>
      <c r="M17" s="6"/>
      <c r="O17" s="6"/>
      <c r="P17" s="6"/>
    </row>
    <row r="18" spans="1:16" x14ac:dyDescent="0.45">
      <c r="A18" s="8" t="s">
        <v>251</v>
      </c>
      <c r="B18" s="6" t="s">
        <v>308</v>
      </c>
      <c r="E18" s="6"/>
      <c r="F18" s="6"/>
      <c r="G18" s="6"/>
      <c r="H18" s="6"/>
      <c r="I18" s="6"/>
      <c r="J18" s="6"/>
      <c r="K18" s="6" t="str">
        <f t="shared" si="0"/>
        <v/>
      </c>
      <c r="L18" s="6"/>
      <c r="M18" s="6"/>
      <c r="O18" s="6"/>
      <c r="P18" s="6"/>
    </row>
    <row r="20" spans="1:16" x14ac:dyDescent="0.45">
      <c r="A20" s="24" t="s">
        <v>253</v>
      </c>
    </row>
    <row r="21" spans="1:16" x14ac:dyDescent="0.45">
      <c r="A21" s="26" t="s">
        <v>58</v>
      </c>
      <c r="B21" s="6" t="s">
        <v>305</v>
      </c>
    </row>
    <row r="22" spans="1:16" x14ac:dyDescent="0.45">
      <c r="A22" s="26" t="s">
        <v>61</v>
      </c>
      <c r="B22" s="6" t="s">
        <v>306</v>
      </c>
    </row>
    <row r="23" spans="1:16" x14ac:dyDescent="0.45">
      <c r="A23" s="26" t="s">
        <v>60</v>
      </c>
      <c r="B23" s="6" t="s">
        <v>304</v>
      </c>
    </row>
    <row r="24" spans="1:16" x14ac:dyDescent="0.45">
      <c r="A24" s="26" t="s">
        <v>59</v>
      </c>
      <c r="B24" s="6" t="s">
        <v>307</v>
      </c>
    </row>
    <row r="25" spans="1:16" x14ac:dyDescent="0.45">
      <c r="A25" s="26"/>
      <c r="B25" s="6"/>
    </row>
    <row r="28" spans="1:16" x14ac:dyDescent="0.45">
      <c r="B28" s="44" t="s">
        <v>303</v>
      </c>
    </row>
    <row r="146" spans="30:33" ht="14.65" thickBot="1" x14ac:dyDescent="0.5"/>
    <row r="147" spans="30:33" x14ac:dyDescent="0.45">
      <c r="AD147" s="37" t="str">
        <f>B3&amp; " ("&amp;B10&amp;")"</f>
        <v>Paul Galjan (Infrastructure Automation)</v>
      </c>
      <c r="AE147" s="38" t="str">
        <f>B9&amp;" with "&amp;B5&amp;" ("&amp;B6&amp;")"</f>
        <v>Product Manager with Dell Technologies (Hopkinton, MA)</v>
      </c>
      <c r="AF147" s="39"/>
      <c r="AG147" s="40" t="str">
        <f>B7&amp;" - "&amp;B8</f>
        <v>Oct 2023 - current</v>
      </c>
    </row>
    <row r="148" spans="30:33" ht="30" customHeight="1" x14ac:dyDescent="0.45">
      <c r="AD148" s="41" t="str">
        <f>B18</f>
        <v>Dell Automation Platform - specializing in TOSCA-based declarative automation solutions with hybrid imperative capabilities, serving enterprise clients through agile development methodologies and related optimization.</v>
      </c>
      <c r="AE148" s="42"/>
      <c r="AF148" s="42"/>
      <c r="AG148" s="43"/>
    </row>
    <row r="149" spans="30:33" x14ac:dyDescent="0.45">
      <c r="AD149" s="11" t="str" cm="1">
        <f t="array" ref="AD149:AD162">_xlfn.VSTACK(
"Tools",
"Core","  • "&amp;_xlfn._xlws.FILTER(E3:E18,D3:D18=TRUE),
"Incidental","  • "&amp;_xlfn._xlws.FILTER(E3:E18,(D3:D18=FALSE)*(E3:E18&lt;&gt;"")))</f>
        <v>Tools</v>
      </c>
      <c r="AE149" s="10" t="str" cm="1">
        <f t="array" ref="AE149:AE155">_xlfn.VSTACK("Profession",B4,"  • "&amp;_xlfn._xlws.FILTER(G4:G9,G4:G9&lt;&gt;""))</f>
        <v>Profession</v>
      </c>
      <c r="AF149" s="9" t="str" cm="1">
        <f t="array" ref="AF149:AF155">_xlfn.VSTACK("Job",B9,B10,"  • "&amp;_xlfn._xlws.FILTER(I4:I8,I4:I8&lt;&gt;""))</f>
        <v>Job</v>
      </c>
      <c r="AG149" s="36" t="s">
        <v>250</v>
      </c>
    </row>
    <row r="150" spans="30:33" x14ac:dyDescent="0.45">
      <c r="AD150" s="30" t="str">
        <v>Core</v>
      </c>
      <c r="AE150" s="12" t="str">
        <v>Analyst</v>
      </c>
      <c r="AF150" s="12" t="str">
        <v>Product Manager</v>
      </c>
      <c r="AG150" s="31" t="str" cm="1">
        <f t="array" ref="AG150:AG163">_xlfn.VSTACK(
  "  Practices","  • "&amp;_xlfn._xlws.FILTER(N4:N18,N4:N18&lt;&gt;""),
"  Priorities","  • "&amp;_xlfn._xlws.FILTER(P4:P18,P4:P18&lt;&gt;""))</f>
        <v xml:space="preserve">  Practices</v>
      </c>
    </row>
    <row r="151" spans="30:33" x14ac:dyDescent="0.45">
      <c r="AD151" s="32" t="str">
        <v xml:space="preserve">  • Excel</v>
      </c>
      <c r="AE151" s="13" t="str">
        <v xml:space="preserve">  • Data Collection</v>
      </c>
      <c r="AF151" s="15" t="str">
        <v>Infrastructure Automation</v>
      </c>
      <c r="AG151" s="13" t="str">
        <v xml:space="preserve">  • Timeboxed Planning</v>
      </c>
    </row>
    <row r="152" spans="30:33" x14ac:dyDescent="0.45">
      <c r="AD152" s="32" t="str">
        <v xml:space="preserve">  • Power Platform</v>
      </c>
      <c r="AE152" s="13" t="str">
        <v xml:space="preserve">  • Data Classification</v>
      </c>
      <c r="AF152" s="13" t="str">
        <v xml:space="preserve">  • Product Planning</v>
      </c>
      <c r="AG152" s="13" t="str">
        <v xml:space="preserve">  • Visual Storytelling</v>
      </c>
    </row>
    <row r="153" spans="30:33" x14ac:dyDescent="0.45">
      <c r="AD153" s="32" t="str">
        <v xml:space="preserve">  • Markdown</v>
      </c>
      <c r="AE153" s="13" t="str">
        <v xml:space="preserve">  • Analysis</v>
      </c>
      <c r="AF153" s="13" t="str">
        <v xml:space="preserve">  • Requirements Development</v>
      </c>
      <c r="AG153" s="13" t="str">
        <v xml:space="preserve">  • Quantification</v>
      </c>
    </row>
    <row r="154" spans="30:33" x14ac:dyDescent="0.45">
      <c r="AD154" s="32" t="str">
        <v xml:space="preserve">  • Drawio</v>
      </c>
      <c r="AE154" s="13" t="str">
        <v xml:space="preserve">  • Communication</v>
      </c>
      <c r="AF154" s="13" t="str">
        <v xml:space="preserve">  • Development Execution</v>
      </c>
      <c r="AG154" s="13" t="str">
        <v xml:space="preserve">  • Frameworks</v>
      </c>
    </row>
    <row r="155" spans="30:33" x14ac:dyDescent="0.45">
      <c r="AD155" s="32" t="str">
        <v xml:space="preserve">  • VSCode</v>
      </c>
      <c r="AE155" s="13" t="str">
        <v xml:space="preserve">  • Impact Assessment</v>
      </c>
      <c r="AF155" s="13" t="str">
        <v xml:space="preserve">  • Core Team Support</v>
      </c>
      <c r="AG155" s="29" t="str">
        <v xml:space="preserve">  • Structured Analysis</v>
      </c>
    </row>
    <row r="156" spans="30:33" x14ac:dyDescent="0.45">
      <c r="AD156" s="32" t="str">
        <v>Incidental</v>
      </c>
      <c r="AE156" s="14"/>
      <c r="AF156" s="16"/>
      <c r="AG156" s="13" t="str">
        <v xml:space="preserve">  • Work Breakdown</v>
      </c>
    </row>
    <row r="157" spans="30:33" x14ac:dyDescent="0.45">
      <c r="AD157" s="33" t="str">
        <v xml:space="preserve">  • Confluence</v>
      </c>
      <c r="AE157" s="34" t="s">
        <v>5</v>
      </c>
      <c r="AF157" s="34"/>
      <c r="AG157" s="13" t="str">
        <v xml:space="preserve">  Priorities</v>
      </c>
    </row>
    <row r="158" spans="30:33" x14ac:dyDescent="0.45">
      <c r="AD158" s="33" t="str">
        <v xml:space="preserve">  • PowerPoint</v>
      </c>
      <c r="AE158" s="28" t="str" cm="1">
        <f t="array" ref="AE158:AF163">IFERROR(_xlfn.VSTACK(IFERROR(_xlfn.HSTACK(
" • "&amp;_xlfn._xlws.FILTER(L4:L18,K4:K18=TRUE),
" • "&amp;_xlfn._xlws.FILTER(L4:L18,(K4:K18=FALSE)*(L4:L18&lt;&gt;""))),"")),"")</f>
        <v xml:space="preserve"> • Data Visualization</v>
      </c>
      <c r="AF158" s="28" t="str">
        <v xml:space="preserve"> • API Defintiion</v>
      </c>
      <c r="AG158" s="13" t="str">
        <v xml:space="preserve">  • Purpose</v>
      </c>
    </row>
    <row r="159" spans="30:33" x14ac:dyDescent="0.45">
      <c r="AD159" s="33" t="str">
        <v xml:space="preserve">  • Jira</v>
      </c>
      <c r="AE159" s="28" t="str">
        <v xml:space="preserve"> • Data Modeling</v>
      </c>
      <c r="AF159" s="28" t="str">
        <v xml:space="preserve"> • Market Analysis</v>
      </c>
      <c r="AG159" s="13" t="str">
        <v xml:space="preserve">  • Efficiency</v>
      </c>
    </row>
    <row r="160" spans="30:33" x14ac:dyDescent="0.45">
      <c r="AD160" s="33" t="str">
        <v xml:space="preserve">  • Jira Align</v>
      </c>
      <c r="AE160" s="28" t="str">
        <v xml:space="preserve"> • Extract/Transform/Load (ETL)</v>
      </c>
      <c r="AF160" s="28" t="str">
        <v xml:space="preserve"> • System Architecture</v>
      </c>
      <c r="AG160" s="13" t="str">
        <v xml:space="preserve">  • Process</v>
      </c>
    </row>
    <row r="161" spans="30:35" x14ac:dyDescent="0.45">
      <c r="AD161" s="33" t="str">
        <v xml:space="preserve">  • Miro</v>
      </c>
      <c r="AE161" s="28" t="str">
        <v xml:space="preserve"> • Agile Development</v>
      </c>
      <c r="AF161" s="28" t="str">
        <v xml:space="preserve"> • Market Analysis</v>
      </c>
      <c r="AG161" s="13" t="str">
        <v xml:space="preserve">  • Clarity</v>
      </c>
    </row>
    <row r="162" spans="30:35" x14ac:dyDescent="0.45">
      <c r="AD162" s="33" t="str">
        <v xml:space="preserve">  • CoPilot</v>
      </c>
      <c r="AE162" s="28" t="str">
        <v xml:space="preserve"> • Value Pricing</v>
      </c>
      <c r="AF162" s="28" t="str">
        <v xml:space="preserve"> • Hypothesis Testing</v>
      </c>
      <c r="AG162" s="13" t="str">
        <v xml:space="preserve">  • Consistency</v>
      </c>
      <c r="AI162" s="17" t="s">
        <v>12</v>
      </c>
    </row>
    <row r="163" spans="30:35" x14ac:dyDescent="0.45">
      <c r="AD163" s="33"/>
      <c r="AE163" s="28" t="str">
        <v xml:space="preserve"> • Project Management</v>
      </c>
      <c r="AF163" s="28" t="str">
        <v/>
      </c>
      <c r="AG163" s="13" t="str">
        <v xml:space="preserve">  • Community</v>
      </c>
      <c r="AI163" s="18" t="s">
        <v>16</v>
      </c>
    </row>
    <row r="164" spans="30:35" x14ac:dyDescent="0.45">
      <c r="AD164" s="16"/>
      <c r="AE164" s="28"/>
      <c r="AF164" s="28"/>
      <c r="AG164" s="13"/>
      <c r="AI164" s="19" t="s">
        <v>17</v>
      </c>
    </row>
    <row r="165" spans="30:35" x14ac:dyDescent="0.45">
      <c r="AD165" s="35" t="s">
        <v>62</v>
      </c>
      <c r="AE165" t="str" cm="1">
        <f t="array" ref="AE165:AE168">_xlfn._xlws.FILTER(B21:B25,B21:B25&lt;&gt;"")</f>
        <v xml:space="preserve">Standardized Dell ISG 2-year software lifecycle policy, replacing fragmented product cycles with predictable enterprise planning.  </v>
      </c>
    </row>
    <row r="166" spans="30:35" x14ac:dyDescent="0.45">
      <c r="AE166" t="str">
        <v>Created constent data model for representation of Dell and 3rd party infrastructure assets in Dell Automation Platform</v>
      </c>
    </row>
    <row r="167" spans="30:35" x14ac:dyDescent="0.45">
      <c r="AE167" t="str">
        <v>Streamlined UI/API definition handoff with UI Mockup-as-code initiative</v>
      </c>
    </row>
    <row r="168" spans="30:35" x14ac:dyDescent="0.45">
      <c r="AE168" t="str">
        <v>Created consistent project management consumption method to naviagte the transitionbetween project management platforms and approaches</v>
      </c>
    </row>
  </sheetData>
  <mergeCells count="1">
    <mergeCell ref="AD148:AG148"/>
  </mergeCells>
  <conditionalFormatting sqref="A21:A1048576 A3:A18">
    <cfRule type="expression" dxfId="12" priority="9">
      <formula>A3=""</formula>
    </cfRule>
  </conditionalFormatting>
  <conditionalFormatting sqref="A21:A25">
    <cfRule type="expression" dxfId="11" priority="8">
      <formula>B21=""</formula>
    </cfRule>
  </conditionalFormatting>
  <conditionalFormatting sqref="B21:G26">
    <cfRule type="expression" dxfId="10" priority="4">
      <formula>LEN($B21)&gt;149</formula>
    </cfRule>
  </conditionalFormatting>
  <conditionalFormatting sqref="D4:D16">
    <cfRule type="expression" dxfId="9" priority="18">
      <formula>$E4=""</formula>
    </cfRule>
  </conditionalFormatting>
  <conditionalFormatting sqref="AD20 AD165:AD168">
    <cfRule type="expression" dxfId="8" priority="2">
      <formula>$AE20&lt;&gt;""</formula>
    </cfRule>
  </conditionalFormatting>
  <conditionalFormatting sqref="AD22:AD1048576 AG149">
    <cfRule type="expression" dxfId="7" priority="17">
      <formula>OR(AD22="Core",AD22="Incidental")</formula>
    </cfRule>
  </conditionalFormatting>
  <conditionalFormatting sqref="AD22:AE47 AD149:AE164">
    <cfRule type="expression" dxfId="6" priority="14">
      <formula>OR(AD22="Core",AD22="Incidental",AD22="Key Accomplishments")</formula>
    </cfRule>
  </conditionalFormatting>
  <conditionalFormatting sqref="AD20:AG20 AD165:AG167">
    <cfRule type="expression" dxfId="5" priority="3">
      <formula>AND($AE21="",$AE20&lt;&gt;"")</formula>
    </cfRule>
  </conditionalFormatting>
  <conditionalFormatting sqref="AD168:AG168">
    <cfRule type="expression" dxfId="4" priority="20">
      <formula>AND($AE20="",$AE168&lt;&gt;"")</formula>
    </cfRule>
  </conditionalFormatting>
  <conditionalFormatting sqref="AG20 AG165:AG168">
    <cfRule type="expression" dxfId="3" priority="1">
      <formula>$AE20&lt;&gt;""</formula>
    </cfRule>
  </conditionalFormatting>
  <conditionalFormatting sqref="AG22:AG1048576">
    <cfRule type="expression" dxfId="2" priority="15">
      <formula>OR(AG22="  Practices",AG22="  Priorities")</formula>
    </cfRule>
  </conditionalFormatting>
  <conditionalFormatting sqref="AI163:AI164">
    <cfRule type="expression" dxfId="1" priority="11">
      <formula>OR(AI163="Core",AI163="Incidental")</formula>
    </cfRule>
  </conditionalFormatting>
  <conditionalFormatting sqref="AI164">
    <cfRule type="expression" dxfId="0" priority="10">
      <formula>OR(AI164="Practices",AI164="Priorities")</formula>
    </cfRule>
  </conditionalFormatting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234B1-B47F-451A-9952-E15FBC3697C2}">
  <dimension ref="A1:E135"/>
  <sheetViews>
    <sheetView workbookViewId="0">
      <selection activeCell="E1" sqref="E1"/>
    </sheetView>
  </sheetViews>
  <sheetFormatPr defaultRowHeight="14.25" x14ac:dyDescent="0.45"/>
  <cols>
    <col min="1" max="3" width="9.796875" customWidth="1"/>
  </cols>
  <sheetData>
    <row r="1" spans="1:5" x14ac:dyDescent="0.45">
      <c r="A1" t="s">
        <v>55</v>
      </c>
      <c r="B1" t="s">
        <v>56</v>
      </c>
      <c r="C1" t="s">
        <v>57</v>
      </c>
      <c r="E1" t="str">
        <f ca="1">_xlfn.XLOOKUP(RANDBETWEEN(1,ROWS(names[])),names[index],names[first])&amp;" " &amp; _xlfn.XLOOKUP(RANDBETWEEN(1,ROWS(names[])),names[index],names[last])</f>
        <v>Finley Phillips</v>
      </c>
    </row>
    <row r="2" spans="1:5" x14ac:dyDescent="0.45">
      <c r="A2">
        <f t="shared" ref="A2:A33" si="0">ROW()-1</f>
        <v>1</v>
      </c>
      <c r="B2" t="s">
        <v>18</v>
      </c>
      <c r="C2" t="s">
        <v>28</v>
      </c>
    </row>
    <row r="3" spans="1:5" x14ac:dyDescent="0.45">
      <c r="A3">
        <f t="shared" si="0"/>
        <v>2</v>
      </c>
      <c r="B3" t="s">
        <v>19</v>
      </c>
      <c r="C3" t="s">
        <v>29</v>
      </c>
    </row>
    <row r="4" spans="1:5" x14ac:dyDescent="0.45">
      <c r="A4">
        <f t="shared" si="0"/>
        <v>3</v>
      </c>
      <c r="B4" t="s">
        <v>21</v>
      </c>
      <c r="C4" t="s">
        <v>30</v>
      </c>
    </row>
    <row r="5" spans="1:5" x14ac:dyDescent="0.45">
      <c r="A5">
        <f t="shared" si="0"/>
        <v>4</v>
      </c>
      <c r="B5" t="s">
        <v>23</v>
      </c>
      <c r="C5" t="s">
        <v>31</v>
      </c>
    </row>
    <row r="6" spans="1:5" x14ac:dyDescent="0.45">
      <c r="A6">
        <f t="shared" si="0"/>
        <v>5</v>
      </c>
      <c r="B6" t="s">
        <v>20</v>
      </c>
      <c r="C6" t="s">
        <v>32</v>
      </c>
    </row>
    <row r="7" spans="1:5" x14ac:dyDescent="0.45">
      <c r="A7">
        <f t="shared" si="0"/>
        <v>6</v>
      </c>
      <c r="B7" t="s">
        <v>22</v>
      </c>
      <c r="C7" t="s">
        <v>33</v>
      </c>
    </row>
    <row r="8" spans="1:5" x14ac:dyDescent="0.45">
      <c r="A8">
        <f t="shared" si="0"/>
        <v>7</v>
      </c>
      <c r="B8" t="s">
        <v>24</v>
      </c>
      <c r="C8" t="s">
        <v>48</v>
      </c>
    </row>
    <row r="9" spans="1:5" x14ac:dyDescent="0.45">
      <c r="A9">
        <f t="shared" si="0"/>
        <v>8</v>
      </c>
      <c r="B9" t="s">
        <v>25</v>
      </c>
      <c r="C9" t="s">
        <v>49</v>
      </c>
    </row>
    <row r="10" spans="1:5" x14ac:dyDescent="0.45">
      <c r="A10">
        <f t="shared" si="0"/>
        <v>9</v>
      </c>
      <c r="B10" t="s">
        <v>26</v>
      </c>
      <c r="C10" t="s">
        <v>34</v>
      </c>
    </row>
    <row r="11" spans="1:5" x14ac:dyDescent="0.45">
      <c r="A11">
        <f t="shared" si="0"/>
        <v>10</v>
      </c>
      <c r="B11" t="s">
        <v>27</v>
      </c>
      <c r="C11" t="s">
        <v>35</v>
      </c>
    </row>
    <row r="12" spans="1:5" x14ac:dyDescent="0.45">
      <c r="A12">
        <f t="shared" si="0"/>
        <v>11</v>
      </c>
      <c r="B12" t="s">
        <v>41</v>
      </c>
      <c r="C12" t="s">
        <v>51</v>
      </c>
    </row>
    <row r="13" spans="1:5" x14ac:dyDescent="0.45">
      <c r="A13">
        <f t="shared" si="0"/>
        <v>12</v>
      </c>
      <c r="B13" t="s">
        <v>47</v>
      </c>
      <c r="C13" t="s">
        <v>37</v>
      </c>
    </row>
    <row r="14" spans="1:5" x14ac:dyDescent="0.45">
      <c r="A14">
        <f t="shared" si="0"/>
        <v>13</v>
      </c>
      <c r="B14" t="s">
        <v>44</v>
      </c>
      <c r="C14" t="s">
        <v>36</v>
      </c>
    </row>
    <row r="15" spans="1:5" x14ac:dyDescent="0.45">
      <c r="A15">
        <f t="shared" si="0"/>
        <v>14</v>
      </c>
      <c r="B15" t="s">
        <v>63</v>
      </c>
      <c r="C15" t="s">
        <v>64</v>
      </c>
    </row>
    <row r="16" spans="1:5" x14ac:dyDescent="0.45">
      <c r="A16">
        <f t="shared" si="0"/>
        <v>15</v>
      </c>
      <c r="B16" t="s">
        <v>43</v>
      </c>
      <c r="C16" t="s">
        <v>53</v>
      </c>
    </row>
    <row r="17" spans="1:3" x14ac:dyDescent="0.45">
      <c r="A17">
        <f t="shared" si="0"/>
        <v>16</v>
      </c>
      <c r="B17" t="s">
        <v>39</v>
      </c>
      <c r="C17" t="s">
        <v>50</v>
      </c>
    </row>
    <row r="18" spans="1:3" x14ac:dyDescent="0.45">
      <c r="A18">
        <f t="shared" si="0"/>
        <v>17</v>
      </c>
      <c r="B18" t="s">
        <v>40</v>
      </c>
      <c r="C18" t="s">
        <v>65</v>
      </c>
    </row>
    <row r="19" spans="1:3" x14ac:dyDescent="0.45">
      <c r="A19">
        <f t="shared" si="0"/>
        <v>18</v>
      </c>
      <c r="B19" t="s">
        <v>38</v>
      </c>
      <c r="C19" t="s">
        <v>66</v>
      </c>
    </row>
    <row r="20" spans="1:3" x14ac:dyDescent="0.45">
      <c r="A20">
        <f t="shared" si="0"/>
        <v>19</v>
      </c>
      <c r="B20" t="s">
        <v>67</v>
      </c>
      <c r="C20" t="s">
        <v>52</v>
      </c>
    </row>
    <row r="21" spans="1:3" x14ac:dyDescent="0.45">
      <c r="A21">
        <f t="shared" si="0"/>
        <v>20</v>
      </c>
      <c r="B21" t="s">
        <v>68</v>
      </c>
      <c r="C21" t="s">
        <v>21</v>
      </c>
    </row>
    <row r="22" spans="1:3" x14ac:dyDescent="0.45">
      <c r="A22">
        <f t="shared" si="0"/>
        <v>21</v>
      </c>
      <c r="B22" t="s">
        <v>69</v>
      </c>
      <c r="C22" t="s">
        <v>70</v>
      </c>
    </row>
    <row r="23" spans="1:3" x14ac:dyDescent="0.45">
      <c r="A23">
        <f t="shared" si="0"/>
        <v>22</v>
      </c>
      <c r="B23" t="s">
        <v>71</v>
      </c>
      <c r="C23" t="s">
        <v>72</v>
      </c>
    </row>
    <row r="24" spans="1:3" x14ac:dyDescent="0.45">
      <c r="A24">
        <f t="shared" si="0"/>
        <v>23</v>
      </c>
      <c r="B24" t="s">
        <v>73</v>
      </c>
      <c r="C24" t="s">
        <v>74</v>
      </c>
    </row>
    <row r="25" spans="1:3" x14ac:dyDescent="0.45">
      <c r="A25">
        <f t="shared" si="0"/>
        <v>24</v>
      </c>
      <c r="B25" t="s">
        <v>75</v>
      </c>
      <c r="C25" t="s">
        <v>76</v>
      </c>
    </row>
    <row r="26" spans="1:3" x14ac:dyDescent="0.45">
      <c r="A26">
        <f t="shared" si="0"/>
        <v>25</v>
      </c>
      <c r="B26" t="s">
        <v>77</v>
      </c>
      <c r="C26" t="s">
        <v>54</v>
      </c>
    </row>
    <row r="27" spans="1:3" x14ac:dyDescent="0.45">
      <c r="A27">
        <f t="shared" si="0"/>
        <v>26</v>
      </c>
      <c r="B27" t="s">
        <v>78</v>
      </c>
      <c r="C27" t="s">
        <v>79</v>
      </c>
    </row>
    <row r="28" spans="1:3" x14ac:dyDescent="0.45">
      <c r="A28">
        <f t="shared" si="0"/>
        <v>27</v>
      </c>
      <c r="B28" t="s">
        <v>80</v>
      </c>
      <c r="C28" t="s">
        <v>81</v>
      </c>
    </row>
    <row r="29" spans="1:3" x14ac:dyDescent="0.45">
      <c r="A29">
        <f t="shared" si="0"/>
        <v>28</v>
      </c>
      <c r="B29" t="s">
        <v>82</v>
      </c>
      <c r="C29" t="s">
        <v>83</v>
      </c>
    </row>
    <row r="30" spans="1:3" x14ac:dyDescent="0.45">
      <c r="A30">
        <f t="shared" si="0"/>
        <v>29</v>
      </c>
      <c r="B30" t="s">
        <v>84</v>
      </c>
      <c r="C30" t="s">
        <v>85</v>
      </c>
    </row>
    <row r="31" spans="1:3" x14ac:dyDescent="0.45">
      <c r="A31">
        <f t="shared" si="0"/>
        <v>30</v>
      </c>
      <c r="B31" t="s">
        <v>86</v>
      </c>
      <c r="C31" t="s">
        <v>87</v>
      </c>
    </row>
    <row r="32" spans="1:3" x14ac:dyDescent="0.45">
      <c r="A32">
        <f t="shared" si="0"/>
        <v>31</v>
      </c>
      <c r="B32" t="s">
        <v>88</v>
      </c>
      <c r="C32" t="s">
        <v>89</v>
      </c>
    </row>
    <row r="33" spans="1:3" x14ac:dyDescent="0.45">
      <c r="A33">
        <f t="shared" si="0"/>
        <v>32</v>
      </c>
      <c r="B33" t="s">
        <v>90</v>
      </c>
      <c r="C33" t="s">
        <v>91</v>
      </c>
    </row>
    <row r="34" spans="1:3" x14ac:dyDescent="0.45">
      <c r="A34">
        <f t="shared" ref="A34:A65" si="1">ROW()-1</f>
        <v>33</v>
      </c>
      <c r="B34" t="s">
        <v>92</v>
      </c>
      <c r="C34" t="s">
        <v>93</v>
      </c>
    </row>
    <row r="35" spans="1:3" x14ac:dyDescent="0.45">
      <c r="A35">
        <f t="shared" si="1"/>
        <v>34</v>
      </c>
      <c r="B35" t="s">
        <v>94</v>
      </c>
      <c r="C35" t="s">
        <v>95</v>
      </c>
    </row>
    <row r="36" spans="1:3" x14ac:dyDescent="0.45">
      <c r="A36">
        <f t="shared" si="1"/>
        <v>35</v>
      </c>
      <c r="B36" t="s">
        <v>46</v>
      </c>
      <c r="C36" t="s">
        <v>96</v>
      </c>
    </row>
    <row r="37" spans="1:3" x14ac:dyDescent="0.45">
      <c r="A37">
        <f t="shared" si="1"/>
        <v>36</v>
      </c>
      <c r="B37" t="s">
        <v>97</v>
      </c>
      <c r="C37" t="s">
        <v>98</v>
      </c>
    </row>
    <row r="38" spans="1:3" x14ac:dyDescent="0.45">
      <c r="A38">
        <f t="shared" si="1"/>
        <v>37</v>
      </c>
      <c r="B38" t="s">
        <v>99</v>
      </c>
      <c r="C38" t="s">
        <v>100</v>
      </c>
    </row>
    <row r="39" spans="1:3" x14ac:dyDescent="0.45">
      <c r="A39">
        <f t="shared" si="1"/>
        <v>38</v>
      </c>
      <c r="B39" t="s">
        <v>101</v>
      </c>
      <c r="C39" t="s">
        <v>102</v>
      </c>
    </row>
    <row r="40" spans="1:3" x14ac:dyDescent="0.45">
      <c r="A40">
        <f t="shared" si="1"/>
        <v>39</v>
      </c>
      <c r="B40" t="s">
        <v>45</v>
      </c>
      <c r="C40" t="s">
        <v>103</v>
      </c>
    </row>
    <row r="41" spans="1:3" x14ac:dyDescent="0.45">
      <c r="A41">
        <f t="shared" si="1"/>
        <v>40</v>
      </c>
      <c r="B41" t="s">
        <v>104</v>
      </c>
      <c r="C41" t="s">
        <v>105</v>
      </c>
    </row>
    <row r="42" spans="1:3" x14ac:dyDescent="0.45">
      <c r="A42">
        <f t="shared" si="1"/>
        <v>41</v>
      </c>
      <c r="B42" t="s">
        <v>106</v>
      </c>
      <c r="C42" t="s">
        <v>107</v>
      </c>
    </row>
    <row r="43" spans="1:3" x14ac:dyDescent="0.45">
      <c r="A43">
        <f t="shared" si="1"/>
        <v>42</v>
      </c>
      <c r="B43" t="s">
        <v>108</v>
      </c>
      <c r="C43" t="s">
        <v>109</v>
      </c>
    </row>
    <row r="44" spans="1:3" x14ac:dyDescent="0.45">
      <c r="A44">
        <f t="shared" si="1"/>
        <v>43</v>
      </c>
      <c r="B44" t="s">
        <v>110</v>
      </c>
      <c r="C44" t="s">
        <v>111</v>
      </c>
    </row>
    <row r="45" spans="1:3" x14ac:dyDescent="0.45">
      <c r="A45">
        <f t="shared" si="1"/>
        <v>44</v>
      </c>
      <c r="B45" t="s">
        <v>112</v>
      </c>
      <c r="C45" t="s">
        <v>113</v>
      </c>
    </row>
    <row r="46" spans="1:3" x14ac:dyDescent="0.45">
      <c r="A46">
        <f t="shared" si="1"/>
        <v>45</v>
      </c>
      <c r="B46" t="s">
        <v>114</v>
      </c>
      <c r="C46" t="s">
        <v>115</v>
      </c>
    </row>
    <row r="47" spans="1:3" x14ac:dyDescent="0.45">
      <c r="A47">
        <f t="shared" si="1"/>
        <v>46</v>
      </c>
      <c r="B47" t="s">
        <v>116</v>
      </c>
      <c r="C47" t="s">
        <v>117</v>
      </c>
    </row>
    <row r="48" spans="1:3" x14ac:dyDescent="0.45">
      <c r="A48">
        <f t="shared" si="1"/>
        <v>47</v>
      </c>
      <c r="B48" t="s">
        <v>69</v>
      </c>
      <c r="C48" t="s">
        <v>63</v>
      </c>
    </row>
    <row r="49" spans="1:3" x14ac:dyDescent="0.45">
      <c r="A49">
        <f t="shared" si="1"/>
        <v>48</v>
      </c>
      <c r="B49" t="s">
        <v>118</v>
      </c>
      <c r="C49" t="s">
        <v>119</v>
      </c>
    </row>
    <row r="50" spans="1:3" x14ac:dyDescent="0.45">
      <c r="A50">
        <f t="shared" si="1"/>
        <v>49</v>
      </c>
      <c r="B50" t="s">
        <v>120</v>
      </c>
      <c r="C50" t="s">
        <v>121</v>
      </c>
    </row>
    <row r="51" spans="1:3" x14ac:dyDescent="0.45">
      <c r="A51">
        <f t="shared" si="1"/>
        <v>50</v>
      </c>
      <c r="B51" t="s">
        <v>122</v>
      </c>
      <c r="C51" t="s">
        <v>123</v>
      </c>
    </row>
    <row r="52" spans="1:3" x14ac:dyDescent="0.45">
      <c r="A52">
        <f t="shared" si="1"/>
        <v>51</v>
      </c>
      <c r="B52" t="s">
        <v>124</v>
      </c>
      <c r="C52" t="s">
        <v>125</v>
      </c>
    </row>
    <row r="53" spans="1:3" x14ac:dyDescent="0.45">
      <c r="A53">
        <f t="shared" si="1"/>
        <v>52</v>
      </c>
      <c r="B53" t="s">
        <v>26</v>
      </c>
      <c r="C53" t="s">
        <v>126</v>
      </c>
    </row>
    <row r="54" spans="1:3" x14ac:dyDescent="0.45">
      <c r="A54">
        <f t="shared" si="1"/>
        <v>53</v>
      </c>
      <c r="B54" t="s">
        <v>127</v>
      </c>
      <c r="C54" t="s">
        <v>128</v>
      </c>
    </row>
    <row r="55" spans="1:3" x14ac:dyDescent="0.45">
      <c r="A55">
        <f t="shared" si="1"/>
        <v>54</v>
      </c>
      <c r="B55" t="s">
        <v>129</v>
      </c>
      <c r="C55" t="s">
        <v>130</v>
      </c>
    </row>
    <row r="56" spans="1:3" x14ac:dyDescent="0.45">
      <c r="A56">
        <f t="shared" si="1"/>
        <v>55</v>
      </c>
      <c r="B56" t="s">
        <v>131</v>
      </c>
      <c r="C56" t="s">
        <v>132</v>
      </c>
    </row>
    <row r="57" spans="1:3" x14ac:dyDescent="0.45">
      <c r="A57">
        <f t="shared" si="1"/>
        <v>56</v>
      </c>
      <c r="B57" t="s">
        <v>133</v>
      </c>
      <c r="C57" t="s">
        <v>134</v>
      </c>
    </row>
    <row r="58" spans="1:3" x14ac:dyDescent="0.45">
      <c r="A58">
        <f t="shared" si="1"/>
        <v>57</v>
      </c>
      <c r="B58" t="s">
        <v>135</v>
      </c>
      <c r="C58" t="s">
        <v>22</v>
      </c>
    </row>
    <row r="59" spans="1:3" x14ac:dyDescent="0.45">
      <c r="A59">
        <f t="shared" si="1"/>
        <v>58</v>
      </c>
      <c r="B59" t="s">
        <v>136</v>
      </c>
      <c r="C59" t="s">
        <v>137</v>
      </c>
    </row>
    <row r="60" spans="1:3" x14ac:dyDescent="0.45">
      <c r="A60">
        <f t="shared" si="1"/>
        <v>59</v>
      </c>
      <c r="B60" t="s">
        <v>138</v>
      </c>
      <c r="C60" t="s">
        <v>139</v>
      </c>
    </row>
    <row r="61" spans="1:3" x14ac:dyDescent="0.45">
      <c r="A61">
        <f t="shared" si="1"/>
        <v>60</v>
      </c>
      <c r="B61" t="s">
        <v>69</v>
      </c>
      <c r="C61" t="s">
        <v>140</v>
      </c>
    </row>
    <row r="62" spans="1:3" x14ac:dyDescent="0.45">
      <c r="A62">
        <f t="shared" si="1"/>
        <v>61</v>
      </c>
      <c r="B62" t="s">
        <v>141</v>
      </c>
      <c r="C62" t="s">
        <v>142</v>
      </c>
    </row>
    <row r="63" spans="1:3" x14ac:dyDescent="0.45">
      <c r="A63">
        <f t="shared" si="1"/>
        <v>62</v>
      </c>
      <c r="B63" t="s">
        <v>143</v>
      </c>
      <c r="C63" t="s">
        <v>144</v>
      </c>
    </row>
    <row r="64" spans="1:3" x14ac:dyDescent="0.45">
      <c r="A64">
        <f t="shared" si="1"/>
        <v>63</v>
      </c>
      <c r="B64" t="s">
        <v>42</v>
      </c>
      <c r="C64" t="s">
        <v>145</v>
      </c>
    </row>
    <row r="65" spans="1:3" x14ac:dyDescent="0.45">
      <c r="A65">
        <f t="shared" si="1"/>
        <v>64</v>
      </c>
      <c r="B65" t="s">
        <v>146</v>
      </c>
      <c r="C65" t="s">
        <v>147</v>
      </c>
    </row>
    <row r="66" spans="1:3" x14ac:dyDescent="0.45">
      <c r="A66">
        <f t="shared" ref="A66:A97" si="2">ROW()-1</f>
        <v>65</v>
      </c>
      <c r="B66" t="s">
        <v>148</v>
      </c>
      <c r="C66" t="s">
        <v>93</v>
      </c>
    </row>
    <row r="67" spans="1:3" x14ac:dyDescent="0.45">
      <c r="A67">
        <f t="shared" si="2"/>
        <v>66</v>
      </c>
      <c r="B67" t="s">
        <v>149</v>
      </c>
      <c r="C67" t="s">
        <v>150</v>
      </c>
    </row>
    <row r="68" spans="1:3" x14ac:dyDescent="0.45">
      <c r="A68">
        <f t="shared" si="2"/>
        <v>67</v>
      </c>
      <c r="B68" t="b">
        <v>1</v>
      </c>
      <c r="C68" t="s">
        <v>122</v>
      </c>
    </row>
    <row r="69" spans="1:3" x14ac:dyDescent="0.45">
      <c r="A69">
        <f t="shared" si="2"/>
        <v>68</v>
      </c>
      <c r="B69" t="s">
        <v>151</v>
      </c>
      <c r="C69" t="s">
        <v>152</v>
      </c>
    </row>
    <row r="70" spans="1:3" x14ac:dyDescent="0.45">
      <c r="A70">
        <f t="shared" si="2"/>
        <v>69</v>
      </c>
      <c r="B70" t="s">
        <v>153</v>
      </c>
      <c r="C70" t="s">
        <v>154</v>
      </c>
    </row>
    <row r="71" spans="1:3" x14ac:dyDescent="0.45">
      <c r="A71">
        <f t="shared" si="2"/>
        <v>70</v>
      </c>
      <c r="B71" t="s">
        <v>155</v>
      </c>
      <c r="C71" t="s">
        <v>156</v>
      </c>
    </row>
    <row r="72" spans="1:3" x14ac:dyDescent="0.45">
      <c r="A72">
        <f t="shared" si="2"/>
        <v>71</v>
      </c>
      <c r="B72" t="s">
        <v>157</v>
      </c>
      <c r="C72" t="s">
        <v>158</v>
      </c>
    </row>
    <row r="73" spans="1:3" x14ac:dyDescent="0.45">
      <c r="A73">
        <f t="shared" si="2"/>
        <v>72</v>
      </c>
      <c r="B73" t="s">
        <v>133</v>
      </c>
      <c r="C73" t="s">
        <v>159</v>
      </c>
    </row>
    <row r="74" spans="1:3" x14ac:dyDescent="0.45">
      <c r="A74">
        <f t="shared" si="2"/>
        <v>73</v>
      </c>
      <c r="B74" t="s">
        <v>160</v>
      </c>
      <c r="C74" t="s">
        <v>161</v>
      </c>
    </row>
    <row r="75" spans="1:3" x14ac:dyDescent="0.45">
      <c r="A75">
        <f t="shared" si="2"/>
        <v>74</v>
      </c>
      <c r="B75" t="s">
        <v>162</v>
      </c>
      <c r="C75" t="s">
        <v>163</v>
      </c>
    </row>
    <row r="76" spans="1:3" x14ac:dyDescent="0.45">
      <c r="A76">
        <f t="shared" si="2"/>
        <v>75</v>
      </c>
      <c r="B76" t="s">
        <v>164</v>
      </c>
      <c r="C76" t="s">
        <v>165</v>
      </c>
    </row>
    <row r="77" spans="1:3" x14ac:dyDescent="0.45">
      <c r="A77">
        <f t="shared" si="2"/>
        <v>76</v>
      </c>
      <c r="B77" t="s">
        <v>166</v>
      </c>
      <c r="C77" t="s">
        <v>167</v>
      </c>
    </row>
    <row r="78" spans="1:3" x14ac:dyDescent="0.45">
      <c r="A78">
        <f t="shared" si="2"/>
        <v>77</v>
      </c>
      <c r="B78" t="s">
        <v>168</v>
      </c>
      <c r="C78" t="s">
        <v>169</v>
      </c>
    </row>
    <row r="79" spans="1:3" x14ac:dyDescent="0.45">
      <c r="A79">
        <f t="shared" si="2"/>
        <v>78</v>
      </c>
      <c r="B79" t="s">
        <v>170</v>
      </c>
      <c r="C79" t="s">
        <v>171</v>
      </c>
    </row>
    <row r="80" spans="1:3" x14ac:dyDescent="0.45">
      <c r="A80">
        <f t="shared" si="2"/>
        <v>79</v>
      </c>
      <c r="B80" t="s">
        <v>172</v>
      </c>
      <c r="C80" t="s">
        <v>173</v>
      </c>
    </row>
    <row r="81" spans="1:3" x14ac:dyDescent="0.45">
      <c r="A81">
        <f t="shared" si="2"/>
        <v>80</v>
      </c>
      <c r="B81" t="s">
        <v>174</v>
      </c>
      <c r="C81" t="s">
        <v>175</v>
      </c>
    </row>
    <row r="82" spans="1:3" x14ac:dyDescent="0.45">
      <c r="A82">
        <f t="shared" si="2"/>
        <v>81</v>
      </c>
      <c r="B82" t="s">
        <v>176</v>
      </c>
      <c r="C82" t="s">
        <v>177</v>
      </c>
    </row>
    <row r="83" spans="1:3" x14ac:dyDescent="0.45">
      <c r="A83">
        <f t="shared" si="2"/>
        <v>82</v>
      </c>
      <c r="B83" t="s">
        <v>178</v>
      </c>
      <c r="C83" t="s">
        <v>179</v>
      </c>
    </row>
    <row r="84" spans="1:3" x14ac:dyDescent="0.45">
      <c r="A84">
        <f t="shared" si="2"/>
        <v>83</v>
      </c>
      <c r="B84" t="s">
        <v>180</v>
      </c>
      <c r="C84" t="s">
        <v>181</v>
      </c>
    </row>
    <row r="85" spans="1:3" x14ac:dyDescent="0.45">
      <c r="A85">
        <f t="shared" si="2"/>
        <v>84</v>
      </c>
      <c r="B85" t="s">
        <v>182</v>
      </c>
      <c r="C85" t="s">
        <v>183</v>
      </c>
    </row>
    <row r="86" spans="1:3" x14ac:dyDescent="0.45">
      <c r="A86">
        <f t="shared" si="2"/>
        <v>85</v>
      </c>
      <c r="B86" t="s">
        <v>184</v>
      </c>
      <c r="C86" t="s">
        <v>185</v>
      </c>
    </row>
    <row r="87" spans="1:3" x14ac:dyDescent="0.45">
      <c r="A87">
        <f t="shared" si="2"/>
        <v>86</v>
      </c>
      <c r="B87" t="s">
        <v>186</v>
      </c>
      <c r="C87" t="s">
        <v>187</v>
      </c>
    </row>
    <row r="88" spans="1:3" x14ac:dyDescent="0.45">
      <c r="A88">
        <f t="shared" si="2"/>
        <v>87</v>
      </c>
      <c r="B88" t="s">
        <v>188</v>
      </c>
      <c r="C88" t="s">
        <v>98</v>
      </c>
    </row>
    <row r="89" spans="1:3" x14ac:dyDescent="0.45">
      <c r="A89">
        <f t="shared" si="2"/>
        <v>88</v>
      </c>
      <c r="B89" t="s">
        <v>189</v>
      </c>
      <c r="C89" t="s">
        <v>190</v>
      </c>
    </row>
    <row r="90" spans="1:3" x14ac:dyDescent="0.45">
      <c r="A90">
        <f t="shared" si="2"/>
        <v>89</v>
      </c>
      <c r="B90" t="s">
        <v>191</v>
      </c>
      <c r="C90" t="s">
        <v>192</v>
      </c>
    </row>
    <row r="91" spans="1:3" x14ac:dyDescent="0.45">
      <c r="A91">
        <f t="shared" si="2"/>
        <v>90</v>
      </c>
      <c r="B91" t="s">
        <v>193</v>
      </c>
      <c r="C91" t="s">
        <v>194</v>
      </c>
    </row>
    <row r="92" spans="1:3" x14ac:dyDescent="0.45">
      <c r="A92">
        <f t="shared" si="2"/>
        <v>91</v>
      </c>
      <c r="B92" t="s">
        <v>195</v>
      </c>
      <c r="C92" t="s">
        <v>196</v>
      </c>
    </row>
    <row r="93" spans="1:3" x14ac:dyDescent="0.45">
      <c r="A93">
        <f t="shared" si="2"/>
        <v>92</v>
      </c>
      <c r="B93" t="s">
        <v>197</v>
      </c>
      <c r="C93" t="s">
        <v>198</v>
      </c>
    </row>
    <row r="94" spans="1:3" x14ac:dyDescent="0.45">
      <c r="A94">
        <f t="shared" si="2"/>
        <v>93</v>
      </c>
      <c r="B94" t="s">
        <v>174</v>
      </c>
      <c r="C94" t="s">
        <v>199</v>
      </c>
    </row>
    <row r="95" spans="1:3" x14ac:dyDescent="0.45">
      <c r="A95">
        <f t="shared" si="2"/>
        <v>94</v>
      </c>
      <c r="B95" t="s">
        <v>200</v>
      </c>
      <c r="C95" t="s">
        <v>201</v>
      </c>
    </row>
    <row r="96" spans="1:3" x14ac:dyDescent="0.45">
      <c r="A96">
        <f t="shared" si="2"/>
        <v>95</v>
      </c>
      <c r="B96" t="s">
        <v>202</v>
      </c>
      <c r="C96" t="s">
        <v>203</v>
      </c>
    </row>
    <row r="97" spans="1:3" x14ac:dyDescent="0.45">
      <c r="A97">
        <f t="shared" si="2"/>
        <v>96</v>
      </c>
      <c r="B97" t="s">
        <v>204</v>
      </c>
      <c r="C97" t="s">
        <v>205</v>
      </c>
    </row>
    <row r="98" spans="1:3" x14ac:dyDescent="0.45">
      <c r="A98">
        <f t="shared" ref="A98:A129" si="3">ROW()-1</f>
        <v>97</v>
      </c>
      <c r="B98" t="s">
        <v>206</v>
      </c>
      <c r="C98" t="s">
        <v>207</v>
      </c>
    </row>
    <row r="99" spans="1:3" x14ac:dyDescent="0.45">
      <c r="A99">
        <f t="shared" si="3"/>
        <v>98</v>
      </c>
      <c r="B99" t="s">
        <v>208</v>
      </c>
      <c r="C99" t="s">
        <v>209</v>
      </c>
    </row>
    <row r="100" spans="1:3" x14ac:dyDescent="0.45">
      <c r="A100">
        <f t="shared" si="3"/>
        <v>99</v>
      </c>
      <c r="B100" t="s">
        <v>210</v>
      </c>
      <c r="C100" t="s">
        <v>211</v>
      </c>
    </row>
    <row r="101" spans="1:3" x14ac:dyDescent="0.45">
      <c r="A101">
        <f t="shared" si="3"/>
        <v>100</v>
      </c>
      <c r="B101" t="s">
        <v>212</v>
      </c>
      <c r="C101" t="s">
        <v>213</v>
      </c>
    </row>
    <row r="102" spans="1:3" x14ac:dyDescent="0.45">
      <c r="A102">
        <f t="shared" si="3"/>
        <v>101</v>
      </c>
      <c r="B102" t="s">
        <v>214</v>
      </c>
      <c r="C102" t="s">
        <v>215</v>
      </c>
    </row>
    <row r="103" spans="1:3" x14ac:dyDescent="0.45">
      <c r="A103">
        <f t="shared" si="3"/>
        <v>102</v>
      </c>
      <c r="B103" t="s">
        <v>27</v>
      </c>
      <c r="C103" t="s">
        <v>216</v>
      </c>
    </row>
    <row r="104" spans="1:3" x14ac:dyDescent="0.45">
      <c r="A104">
        <f t="shared" si="3"/>
        <v>103</v>
      </c>
      <c r="B104" t="s">
        <v>217</v>
      </c>
      <c r="C104" t="s">
        <v>218</v>
      </c>
    </row>
    <row r="105" spans="1:3" x14ac:dyDescent="0.45">
      <c r="A105">
        <f t="shared" si="3"/>
        <v>104</v>
      </c>
      <c r="B105" t="s">
        <v>120</v>
      </c>
      <c r="C105" t="s">
        <v>219</v>
      </c>
    </row>
    <row r="106" spans="1:3" x14ac:dyDescent="0.45">
      <c r="A106">
        <f t="shared" si="3"/>
        <v>105</v>
      </c>
      <c r="B106" t="s">
        <v>220</v>
      </c>
      <c r="C106" t="s">
        <v>221</v>
      </c>
    </row>
    <row r="107" spans="1:3" x14ac:dyDescent="0.45">
      <c r="A107">
        <f t="shared" si="3"/>
        <v>106</v>
      </c>
      <c r="B107" t="s">
        <v>222</v>
      </c>
      <c r="C107" t="s">
        <v>223</v>
      </c>
    </row>
    <row r="108" spans="1:3" x14ac:dyDescent="0.45">
      <c r="A108">
        <f t="shared" si="3"/>
        <v>107</v>
      </c>
      <c r="B108" t="s">
        <v>224</v>
      </c>
      <c r="C108" t="s">
        <v>220</v>
      </c>
    </row>
    <row r="109" spans="1:3" x14ac:dyDescent="0.45">
      <c r="A109">
        <f t="shared" si="3"/>
        <v>108</v>
      </c>
      <c r="B109" t="s">
        <v>26</v>
      </c>
      <c r="C109" t="s">
        <v>19</v>
      </c>
    </row>
    <row r="110" spans="1:3" x14ac:dyDescent="0.45">
      <c r="A110">
        <f t="shared" si="3"/>
        <v>109</v>
      </c>
      <c r="B110" t="s">
        <v>69</v>
      </c>
      <c r="C110" t="s">
        <v>225</v>
      </c>
    </row>
    <row r="111" spans="1:3" x14ac:dyDescent="0.45">
      <c r="A111">
        <f t="shared" si="3"/>
        <v>110</v>
      </c>
      <c r="B111" t="s">
        <v>112</v>
      </c>
      <c r="C111" t="s">
        <v>226</v>
      </c>
    </row>
    <row r="112" spans="1:3" x14ac:dyDescent="0.45">
      <c r="A112">
        <f t="shared" si="3"/>
        <v>111</v>
      </c>
      <c r="B112" t="s">
        <v>197</v>
      </c>
      <c r="C112" t="s">
        <v>227</v>
      </c>
    </row>
    <row r="113" spans="1:3" x14ac:dyDescent="0.45">
      <c r="A113">
        <f t="shared" si="3"/>
        <v>112</v>
      </c>
      <c r="B113" t="s">
        <v>27</v>
      </c>
      <c r="C113" t="s">
        <v>129</v>
      </c>
    </row>
    <row r="114" spans="1:3" x14ac:dyDescent="0.45">
      <c r="A114">
        <f t="shared" si="3"/>
        <v>113</v>
      </c>
      <c r="B114" t="s">
        <v>110</v>
      </c>
      <c r="C114" t="s">
        <v>228</v>
      </c>
    </row>
    <row r="115" spans="1:3" x14ac:dyDescent="0.45">
      <c r="A115">
        <f t="shared" si="3"/>
        <v>114</v>
      </c>
      <c r="B115" t="s">
        <v>124</v>
      </c>
      <c r="C115" t="s">
        <v>229</v>
      </c>
    </row>
    <row r="116" spans="1:3" x14ac:dyDescent="0.45">
      <c r="A116">
        <f t="shared" si="3"/>
        <v>115</v>
      </c>
      <c r="B116" t="s">
        <v>120</v>
      </c>
      <c r="C116" t="s">
        <v>230</v>
      </c>
    </row>
    <row r="117" spans="1:3" x14ac:dyDescent="0.45">
      <c r="A117">
        <f t="shared" si="3"/>
        <v>116</v>
      </c>
      <c r="B117" t="s">
        <v>108</v>
      </c>
      <c r="C117" t="s">
        <v>231</v>
      </c>
    </row>
    <row r="118" spans="1:3" x14ac:dyDescent="0.45">
      <c r="A118">
        <f t="shared" si="3"/>
        <v>117</v>
      </c>
      <c r="B118" t="b">
        <v>1</v>
      </c>
      <c r="C118" t="s">
        <v>232</v>
      </c>
    </row>
    <row r="119" spans="1:3" x14ac:dyDescent="0.45">
      <c r="A119">
        <f t="shared" si="3"/>
        <v>118</v>
      </c>
      <c r="B119" t="s">
        <v>184</v>
      </c>
      <c r="C119" t="s">
        <v>233</v>
      </c>
    </row>
    <row r="120" spans="1:3" x14ac:dyDescent="0.45">
      <c r="A120">
        <f t="shared" si="3"/>
        <v>119</v>
      </c>
      <c r="B120" t="s">
        <v>122</v>
      </c>
      <c r="C120" t="s">
        <v>234</v>
      </c>
    </row>
    <row r="121" spans="1:3" x14ac:dyDescent="0.45">
      <c r="A121">
        <f t="shared" si="3"/>
        <v>120</v>
      </c>
      <c r="B121" t="s">
        <v>26</v>
      </c>
      <c r="C121" t="s">
        <v>235</v>
      </c>
    </row>
    <row r="122" spans="1:3" x14ac:dyDescent="0.45">
      <c r="A122">
        <f t="shared" si="3"/>
        <v>121</v>
      </c>
      <c r="B122" t="s">
        <v>69</v>
      </c>
      <c r="C122" t="s">
        <v>236</v>
      </c>
    </row>
    <row r="123" spans="1:3" x14ac:dyDescent="0.45">
      <c r="A123">
        <f t="shared" si="3"/>
        <v>122</v>
      </c>
      <c r="B123" t="s">
        <v>27</v>
      </c>
      <c r="C123" t="s">
        <v>237</v>
      </c>
    </row>
    <row r="124" spans="1:3" x14ac:dyDescent="0.45">
      <c r="A124">
        <f t="shared" si="3"/>
        <v>123</v>
      </c>
      <c r="B124" t="s">
        <v>120</v>
      </c>
      <c r="C124" t="s">
        <v>238</v>
      </c>
    </row>
    <row r="125" spans="1:3" x14ac:dyDescent="0.45">
      <c r="A125">
        <f t="shared" si="3"/>
        <v>124</v>
      </c>
      <c r="B125" t="s">
        <v>110</v>
      </c>
      <c r="C125" t="s">
        <v>239</v>
      </c>
    </row>
    <row r="126" spans="1:3" x14ac:dyDescent="0.45">
      <c r="A126">
        <f t="shared" si="3"/>
        <v>125</v>
      </c>
      <c r="B126" t="s">
        <v>108</v>
      </c>
      <c r="C126" t="s">
        <v>240</v>
      </c>
    </row>
    <row r="127" spans="1:3" x14ac:dyDescent="0.45">
      <c r="A127">
        <f t="shared" si="3"/>
        <v>126</v>
      </c>
      <c r="B127" t="b">
        <v>1</v>
      </c>
      <c r="C127" t="s">
        <v>241</v>
      </c>
    </row>
    <row r="128" spans="1:3" x14ac:dyDescent="0.45">
      <c r="A128">
        <f t="shared" si="3"/>
        <v>127</v>
      </c>
      <c r="B128" t="s">
        <v>184</v>
      </c>
      <c r="C128" t="s">
        <v>242</v>
      </c>
    </row>
    <row r="129" spans="1:3" x14ac:dyDescent="0.45">
      <c r="A129">
        <f t="shared" si="3"/>
        <v>128</v>
      </c>
      <c r="B129" t="s">
        <v>122</v>
      </c>
      <c r="C129" t="s">
        <v>243</v>
      </c>
    </row>
    <row r="130" spans="1:3" x14ac:dyDescent="0.45">
      <c r="A130">
        <f t="shared" ref="A130:A135" si="4">ROW()-1</f>
        <v>129</v>
      </c>
      <c r="B130" t="s">
        <v>26</v>
      </c>
      <c r="C130" t="s">
        <v>244</v>
      </c>
    </row>
    <row r="131" spans="1:3" x14ac:dyDescent="0.45">
      <c r="A131">
        <f t="shared" si="4"/>
        <v>130</v>
      </c>
      <c r="B131" t="s">
        <v>69</v>
      </c>
      <c r="C131" t="s">
        <v>245</v>
      </c>
    </row>
    <row r="132" spans="1:3" x14ac:dyDescent="0.45">
      <c r="A132">
        <f t="shared" si="4"/>
        <v>131</v>
      </c>
      <c r="B132" t="s">
        <v>27</v>
      </c>
      <c r="C132" t="s">
        <v>246</v>
      </c>
    </row>
    <row r="133" spans="1:3" x14ac:dyDescent="0.45">
      <c r="A133">
        <f t="shared" si="4"/>
        <v>132</v>
      </c>
      <c r="B133" t="s">
        <v>120</v>
      </c>
      <c r="C133" t="s">
        <v>247</v>
      </c>
    </row>
    <row r="134" spans="1:3" x14ac:dyDescent="0.45">
      <c r="A134">
        <f t="shared" si="4"/>
        <v>133</v>
      </c>
      <c r="B134" t="s">
        <v>110</v>
      </c>
      <c r="C134" t="s">
        <v>248</v>
      </c>
    </row>
    <row r="135" spans="1:3" x14ac:dyDescent="0.45">
      <c r="A135">
        <f t="shared" si="4"/>
        <v>134</v>
      </c>
      <c r="B135" t="s">
        <v>108</v>
      </c>
      <c r="C135" t="s">
        <v>249</v>
      </c>
    </row>
  </sheetData>
  <sheetProtection selectLockedCells="1" selectUnlockedCells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careerstop</vt:lpstr>
      <vt:lpstr>names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Galjan</dc:creator>
  <cp:lastModifiedBy>Paul Galjan</cp:lastModifiedBy>
  <dcterms:created xsi:type="dcterms:W3CDTF">2025-07-20T10:41:48Z</dcterms:created>
  <dcterms:modified xsi:type="dcterms:W3CDTF">2025-07-20T20:20:58Z</dcterms:modified>
</cp:coreProperties>
</file>